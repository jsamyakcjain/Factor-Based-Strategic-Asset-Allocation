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samyakjain/Downloads/"/>
    </mc:Choice>
  </mc:AlternateContent>
  <xr:revisionPtr revIDLastSave="0" documentId="8_{3CE38429-C093-894E-B726-4208A6D442D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E3" i="2"/>
  <c r="D3" i="2"/>
  <c r="G2" i="2"/>
  <c r="F2" i="2"/>
  <c r="E2" i="2"/>
  <c r="D2" i="2"/>
  <c r="I2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3" i="2"/>
  <c r="S2" i="2"/>
  <c r="R2" i="2"/>
  <c r="P110" i="2"/>
  <c r="P109" i="2"/>
  <c r="P108" i="2"/>
  <c r="P107" i="2"/>
  <c r="P106" i="2"/>
  <c r="P105" i="2"/>
  <c r="AI1" i="2"/>
  <c r="P104" i="2"/>
  <c r="P103" i="2"/>
  <c r="P102" i="2"/>
  <c r="P101" i="2"/>
  <c r="P100" i="2"/>
  <c r="M2" i="2"/>
  <c r="L3" i="2"/>
  <c r="K3" i="2"/>
  <c r="J3" i="2"/>
  <c r="I3" i="2"/>
  <c r="L2" i="2"/>
  <c r="K2" i="2"/>
  <c r="J2" i="2"/>
  <c r="C3" i="2"/>
  <c r="C2" i="2"/>
  <c r="T1" i="2" l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6" i="2"/>
</calcChain>
</file>

<file path=xl/sharedStrings.xml><?xml version="1.0" encoding="utf-8"?>
<sst xmlns="http://schemas.openxmlformats.org/spreadsheetml/2006/main" count="38" uniqueCount="30">
  <si>
    <t>Date</t>
  </si>
  <si>
    <t>Equities</t>
  </si>
  <si>
    <t>US Rates</t>
  </si>
  <si>
    <t>Credit</t>
  </si>
  <si>
    <t>Risk Free Rate</t>
  </si>
  <si>
    <t>avg</t>
  </si>
  <si>
    <t>vol</t>
  </si>
  <si>
    <t>ASSET RETURNS</t>
  </si>
  <si>
    <t>Total Returns</t>
  </si>
  <si>
    <t>TIPS</t>
  </si>
  <si>
    <t>StructCredit</t>
  </si>
  <si>
    <t>Raw factor input returns</t>
  </si>
  <si>
    <t>Zero mean factors</t>
  </si>
  <si>
    <t>UST Index</t>
  </si>
  <si>
    <t>US Corp Credit, IG</t>
  </si>
  <si>
    <t>US Corp Credit, HY</t>
  </si>
  <si>
    <t>EM IG</t>
  </si>
  <si>
    <t>EM Broad</t>
  </si>
  <si>
    <t>US MBS Agency</t>
  </si>
  <si>
    <t>US CMBS</t>
  </si>
  <si>
    <t>US ABS</t>
  </si>
  <si>
    <t>US Lev Loans</t>
  </si>
  <si>
    <t>US Public Equity</t>
  </si>
  <si>
    <t>US Private Equity</t>
  </si>
  <si>
    <t>US Real Estate</t>
  </si>
  <si>
    <t>Global Hedge Funds</t>
  </si>
  <si>
    <t>Abs Rtn Hedge Funds</t>
  </si>
  <si>
    <t>US Private EquityUnSmthd</t>
  </si>
  <si>
    <t>US Real EstateUnSmthd</t>
  </si>
  <si>
    <t>USRiskFreeRate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</si>
</sst>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0"/>
  <sheetViews>
    <sheetView tabSelected="1" topLeftCell="F1" workbookViewId="0">
      <selection activeCell="R2" sqref="R2"/>
    </sheetView>
  </sheetViews>
  <sheetFormatPr baseColWidth="10" defaultColWidth="8.83203125" defaultRowHeight="15" x14ac:dyDescent="0.2"/>
  <cols>
    <col min="1" max="1" width="7.1640625" bestFit="1" customWidth="1"/>
    <col min="2" max="2" width="19.6640625" bestFit="1" customWidth="1"/>
    <col min="3" max="6" width="12.6640625" bestFit="1" customWidth="1"/>
    <col min="7" max="7" width="12.1640625" bestFit="1" customWidth="1"/>
    <col min="9" max="9" width="14.5" bestFit="1" customWidth="1"/>
    <col min="10" max="12" width="12.6640625" bestFit="1" customWidth="1"/>
    <col min="13" max="13" width="12.1640625" bestFit="1" customWidth="1"/>
    <col min="16" max="16" width="7.1640625" bestFit="1" customWidth="1"/>
    <col min="17" max="20" width="12.6640625" bestFit="1" customWidth="1"/>
    <col min="21" max="21" width="14.6640625" bestFit="1" customWidth="1"/>
    <col min="22" max="22" width="15" bestFit="1" customWidth="1"/>
    <col min="23" max="28" width="12.6640625" bestFit="1" customWidth="1"/>
    <col min="29" max="29" width="13.5" bestFit="1" customWidth="1"/>
    <col min="30" max="30" width="14" bestFit="1" customWidth="1"/>
    <col min="31" max="31" width="12.6640625" bestFit="1" customWidth="1"/>
    <col min="32" max="32" width="16" bestFit="1" customWidth="1"/>
    <col min="33" max="33" width="16.83203125" bestFit="1" customWidth="1"/>
    <col min="34" max="34" width="21.5" bestFit="1" customWidth="1"/>
    <col min="35" max="35" width="18.83203125" bestFit="1" customWidth="1"/>
  </cols>
  <sheetData>
    <row r="1" spans="1:35" x14ac:dyDescent="0.2">
      <c r="B1" t="s">
        <v>11</v>
      </c>
      <c r="I1" t="s">
        <v>12</v>
      </c>
      <c r="Q1" t="s">
        <v>7</v>
      </c>
      <c r="S1">
        <v>1</v>
      </c>
      <c r="T1">
        <f>S1+1</f>
        <v>2</v>
      </c>
      <c r="U1">
        <f t="shared" ref="U1:AI1" si="0">T1+1</f>
        <v>3</v>
      </c>
      <c r="V1">
        <f t="shared" si="0"/>
        <v>4</v>
      </c>
      <c r="W1">
        <f t="shared" si="0"/>
        <v>5</v>
      </c>
      <c r="X1">
        <f t="shared" si="0"/>
        <v>6</v>
      </c>
      <c r="Y1">
        <f t="shared" si="0"/>
        <v>7</v>
      </c>
      <c r="Z1">
        <f t="shared" si="0"/>
        <v>8</v>
      </c>
      <c r="AA1">
        <f t="shared" si="0"/>
        <v>9</v>
      </c>
      <c r="AB1">
        <f t="shared" si="0"/>
        <v>10</v>
      </c>
      <c r="AC1">
        <f t="shared" si="0"/>
        <v>11</v>
      </c>
      <c r="AD1">
        <f t="shared" si="0"/>
        <v>12</v>
      </c>
      <c r="AE1">
        <f t="shared" si="0"/>
        <v>13</v>
      </c>
      <c r="AF1">
        <f t="shared" si="0"/>
        <v>14</v>
      </c>
      <c r="AG1">
        <f t="shared" si="0"/>
        <v>15</v>
      </c>
      <c r="AH1">
        <f t="shared" si="0"/>
        <v>16</v>
      </c>
      <c r="AI1">
        <f t="shared" si="0"/>
        <v>17</v>
      </c>
    </row>
    <row r="2" spans="1:35" x14ac:dyDescent="0.2">
      <c r="B2" t="s">
        <v>5</v>
      </c>
      <c r="C2" s="3">
        <f>4*AVERAGE(C6:C110)</f>
        <v>9.1748430307324366E-2</v>
      </c>
      <c r="D2" s="3">
        <f t="shared" ref="D2:G2" si="1">4*AVERAGE(D6:D110)</f>
        <v>3.7025650244107165E-2</v>
      </c>
      <c r="E2" s="3">
        <f t="shared" si="1"/>
        <v>6.2868904920331148E-2</v>
      </c>
      <c r="F2" s="3">
        <f t="shared" si="1"/>
        <v>4.1707905483033034E-2</v>
      </c>
      <c r="G2" s="3">
        <f t="shared" si="1"/>
        <v>2.3036950476190473E-2</v>
      </c>
      <c r="H2" s="3"/>
      <c r="I2" s="3">
        <f t="shared" ref="I2:L2" si="2">4*AVERAGE(I6:I110)</f>
        <v>-1.2688263138573217E-17</v>
      </c>
      <c r="J2" s="3">
        <f t="shared" si="2"/>
        <v>-1.6124667738603465E-17</v>
      </c>
      <c r="K2" s="3">
        <f t="shared" si="2"/>
        <v>-2.590520390792032E-17</v>
      </c>
      <c r="L2" s="3">
        <f t="shared" si="2"/>
        <v>-1.0044874984703797E-17</v>
      </c>
      <c r="M2" s="3">
        <f t="shared" ref="M2" si="3">4*AVERAGE(M6:M110)</f>
        <v>2.3036950476190473E-2</v>
      </c>
      <c r="N2" s="3"/>
      <c r="Q2" t="s">
        <v>5</v>
      </c>
      <c r="R2" s="3">
        <f>AVERAGE(R6:R110)</f>
        <v>2.3036950476190473E-2</v>
      </c>
      <c r="S2" s="3">
        <f>AVERAGE(S6:S110)</f>
        <v>9.2564125610267913E-3</v>
      </c>
      <c r="T2" s="3">
        <f t="shared" ref="T2:AI2" si="4">AVERAGE(T6:T110)</f>
        <v>1.3473398126695933E-2</v>
      </c>
      <c r="U2" s="3">
        <f t="shared" si="4"/>
        <v>1.194806941245349E-2</v>
      </c>
      <c r="V2" s="3">
        <f t="shared" si="4"/>
        <v>1.7279772871745307E-2</v>
      </c>
      <c r="W2" s="3">
        <f t="shared" si="4"/>
        <v>1.5100925057538489E-2</v>
      </c>
      <c r="X2" s="3">
        <f t="shared" si="4"/>
        <v>1.8540137578593834E-2</v>
      </c>
      <c r="Y2" s="3">
        <f t="shared" si="4"/>
        <v>9.6094799204939525E-3</v>
      </c>
      <c r="Z2" s="3">
        <f t="shared" si="4"/>
        <v>1.2408555688297634E-2</v>
      </c>
      <c r="AA2" s="3">
        <f t="shared" si="4"/>
        <v>9.2628935034831869E-3</v>
      </c>
      <c r="AB2" s="3">
        <f t="shared" si="4"/>
        <v>1.3978311746032207E-2</v>
      </c>
      <c r="AC2" s="3">
        <f t="shared" si="4"/>
        <v>2.2937107576831092E-2</v>
      </c>
      <c r="AD2" s="3">
        <f t="shared" si="4"/>
        <v>2.9669780466990293E-2</v>
      </c>
      <c r="AE2" s="3">
        <f t="shared" si="4"/>
        <v>1.8595507993203888E-2</v>
      </c>
      <c r="AF2" s="3">
        <f t="shared" si="4"/>
        <v>2.108124676926643E-2</v>
      </c>
      <c r="AG2" s="3">
        <f t="shared" si="4"/>
        <v>2.041956785495775E-2</v>
      </c>
      <c r="AH2" s="3">
        <f t="shared" si="4"/>
        <v>2.7636031870174733E-2</v>
      </c>
      <c r="AI2" s="3">
        <f t="shared" si="4"/>
        <v>1.5474410937067959E-2</v>
      </c>
    </row>
    <row r="3" spans="1:35" x14ac:dyDescent="0.2">
      <c r="B3" t="s">
        <v>6</v>
      </c>
      <c r="C3" s="3">
        <f>2*STDEV(C6:C110)</f>
        <v>0.16943863483036178</v>
      </c>
      <c r="D3" s="3">
        <f t="shared" ref="D3:F3" si="5">2*STDEV(D6:D110)</f>
        <v>5.2854733657130622E-2</v>
      </c>
      <c r="E3" s="3">
        <f t="shared" si="5"/>
        <v>7.0436029583803378E-2</v>
      </c>
      <c r="F3" s="3">
        <f t="shared" si="5"/>
        <v>4.0447319401354265E-2</v>
      </c>
      <c r="G3" s="3"/>
      <c r="H3" s="3"/>
      <c r="I3" s="3">
        <f t="shared" ref="I3:L3" si="6">2*STDEV(I6:I110)</f>
        <v>0.17098554322983062</v>
      </c>
      <c r="J3" s="3">
        <f t="shared" si="6"/>
        <v>5.2493177207336504E-2</v>
      </c>
      <c r="K3" s="3">
        <f t="shared" si="6"/>
        <v>7.1665644960620958E-2</v>
      </c>
      <c r="L3" s="3">
        <f t="shared" si="6"/>
        <v>4.1085370304441371E-2</v>
      </c>
      <c r="M3" s="3"/>
      <c r="N3" s="3"/>
      <c r="Q3" t="s">
        <v>6</v>
      </c>
      <c r="S3" s="3">
        <f>2*STDEV(S6:S110)</f>
        <v>5.2854733657130622E-2</v>
      </c>
      <c r="T3" s="3">
        <f t="shared" ref="T3:AI3" si="7">2*STDEV(T6:T110)</f>
        <v>5.3594487810384443E-2</v>
      </c>
      <c r="U3" s="3">
        <f t="shared" si="7"/>
        <v>4.8390674451656603E-2</v>
      </c>
      <c r="V3" s="3">
        <f t="shared" si="7"/>
        <v>9.8380018410630377E-2</v>
      </c>
      <c r="W3" s="3">
        <f t="shared" si="7"/>
        <v>7.7270978037266888E-2</v>
      </c>
      <c r="X3" s="3">
        <f t="shared" si="7"/>
        <v>8.8436614797882854E-2</v>
      </c>
      <c r="Y3" s="3">
        <f t="shared" si="7"/>
        <v>3.8103072838627766E-2</v>
      </c>
      <c r="Z3" s="3">
        <f t="shared" si="7"/>
        <v>6.5889899509359792E-2</v>
      </c>
      <c r="AA3" s="3">
        <f t="shared" si="7"/>
        <v>3.8140597163514506E-2</v>
      </c>
      <c r="AB3" s="3">
        <f t="shared" si="7"/>
        <v>8.2339690177218011E-2</v>
      </c>
      <c r="AC3" s="3">
        <f t="shared" si="7"/>
        <v>0.16943863483036178</v>
      </c>
      <c r="AD3" s="3">
        <f t="shared" si="7"/>
        <v>9.6639285863929822E-2</v>
      </c>
      <c r="AE3" s="3">
        <f t="shared" si="7"/>
        <v>9.3450789231166967E-2</v>
      </c>
      <c r="AF3" s="3">
        <f t="shared" si="7"/>
        <v>6.1225840168512735E-2</v>
      </c>
      <c r="AG3" s="3">
        <f t="shared" si="7"/>
        <v>6.4684245959890849E-2</v>
      </c>
      <c r="AH3" s="3">
        <f t="shared" si="7"/>
        <v>0.15400449276930447</v>
      </c>
      <c r="AI3" s="3">
        <f t="shared" si="7"/>
        <v>0.19527188400820317</v>
      </c>
    </row>
    <row r="4" spans="1:35" x14ac:dyDescent="0.2">
      <c r="S4" t="s">
        <v>8</v>
      </c>
    </row>
    <row r="5" spans="1:35" x14ac:dyDescent="0.2">
      <c r="B5" t="s">
        <v>0</v>
      </c>
      <c r="C5" t="s">
        <v>1</v>
      </c>
      <c r="D5" t="s">
        <v>2</v>
      </c>
      <c r="E5" t="s">
        <v>3</v>
      </c>
      <c r="F5" t="s">
        <v>10</v>
      </c>
      <c r="G5" t="s">
        <v>4</v>
      </c>
      <c r="I5" t="s">
        <v>1</v>
      </c>
      <c r="J5" t="s">
        <v>2</v>
      </c>
      <c r="K5" t="s">
        <v>3</v>
      </c>
      <c r="L5" t="s">
        <v>10</v>
      </c>
      <c r="M5" t="s">
        <v>4</v>
      </c>
      <c r="Q5" t="s">
        <v>0</v>
      </c>
      <c r="R5" t="s">
        <v>29</v>
      </c>
      <c r="S5" t="s">
        <v>13</v>
      </c>
      <c r="T5" t="s">
        <v>9</v>
      </c>
      <c r="U5" t="s">
        <v>14</v>
      </c>
      <c r="V5" t="s">
        <v>15</v>
      </c>
      <c r="W5" t="s">
        <v>16</v>
      </c>
      <c r="X5" t="s">
        <v>17</v>
      </c>
      <c r="Y5" t="s">
        <v>18</v>
      </c>
      <c r="Z5" t="s">
        <v>19</v>
      </c>
      <c r="AA5" t="s">
        <v>20</v>
      </c>
      <c r="AB5" t="s">
        <v>21</v>
      </c>
      <c r="AC5" t="s">
        <v>22</v>
      </c>
      <c r="AD5" t="s">
        <v>23</v>
      </c>
      <c r="AE5" t="s">
        <v>24</v>
      </c>
      <c r="AF5" t="s">
        <v>25</v>
      </c>
      <c r="AG5" t="s">
        <v>26</v>
      </c>
      <c r="AH5" t="s">
        <v>27</v>
      </c>
      <c r="AI5" t="s">
        <v>28</v>
      </c>
    </row>
    <row r="6" spans="1:35" x14ac:dyDescent="0.2">
      <c r="A6">
        <v>730576</v>
      </c>
      <c r="B6" s="2">
        <f>A6-693960</f>
        <v>36616</v>
      </c>
      <c r="C6">
        <v>4.5670792964293661E-2</v>
      </c>
      <c r="D6">
        <v>3.789768043657471E-2</v>
      </c>
      <c r="E6">
        <v>1.3515016969004451E-2</v>
      </c>
      <c r="F6">
        <v>1.494061915866185E-2</v>
      </c>
      <c r="G6">
        <v>1.5724999999999999E-2</v>
      </c>
      <c r="I6">
        <v>1.2767923006510189E-2</v>
      </c>
      <c r="J6">
        <v>1.8675505494595537E-2</v>
      </c>
      <c r="K6">
        <v>-1.2167971642030716E-2</v>
      </c>
      <c r="L6">
        <v>-5.4521195930487898E-3</v>
      </c>
      <c r="M6">
        <v>1.5724999999999999E-2</v>
      </c>
      <c r="P6">
        <v>730576</v>
      </c>
      <c r="Q6" s="2">
        <v>36616</v>
      </c>
      <c r="R6" s="4">
        <v>6.2899999999999998E-2</v>
      </c>
      <c r="S6">
        <v>3.789768043657471E-2</v>
      </c>
      <c r="T6">
        <v>4.3146093888771775E-2</v>
      </c>
      <c r="U6">
        <v>1.1481920277828572E-2</v>
      </c>
      <c r="V6">
        <v>-2.3408601556892839E-2</v>
      </c>
      <c r="W6">
        <v>1.4539579967689731E-2</v>
      </c>
      <c r="X6">
        <v>5.1447169187392339E-2</v>
      </c>
      <c r="Y6">
        <v>1.3795619605741827E-2</v>
      </c>
      <c r="Z6">
        <v>1.5866353257219634E-2</v>
      </c>
      <c r="AA6">
        <v>1.5159884613024088E-2</v>
      </c>
      <c r="AB6">
        <v>7.8517641086386369E-3</v>
      </c>
      <c r="AC6">
        <v>4.5670792964293661E-2</v>
      </c>
      <c r="AD6">
        <v>0.1361801118</v>
      </c>
      <c r="AE6">
        <v>2.6462521700000002E-2</v>
      </c>
      <c r="AF6">
        <v>8.4948000000000023E-2</v>
      </c>
      <c r="AG6">
        <v>5.4528999999999939E-2</v>
      </c>
      <c r="AH6">
        <v>0.15029320289500001</v>
      </c>
      <c r="AI6">
        <v>1.3535947499999923E-4</v>
      </c>
    </row>
    <row r="7" spans="1:35" x14ac:dyDescent="0.2">
      <c r="A7">
        <v>730667</v>
      </c>
      <c r="B7" s="2">
        <f t="shared" ref="B7:B70" si="8">A7-693960</f>
        <v>36707</v>
      </c>
      <c r="C7">
        <v>-3.4573497993851232E-2</v>
      </c>
      <c r="D7">
        <v>1.5190662417436496E-2</v>
      </c>
      <c r="E7">
        <v>9.6158561962856604E-3</v>
      </c>
      <c r="F7">
        <v>2.0896764004998625E-2</v>
      </c>
      <c r="G7">
        <v>1.692345E-2</v>
      </c>
      <c r="I7">
        <v>-6.8674817951634701E-2</v>
      </c>
      <c r="J7">
        <v>-5.229962524542677E-3</v>
      </c>
      <c r="K7">
        <v>-1.7265582414749507E-2</v>
      </c>
      <c r="L7">
        <v>-6.9442474671201505E-4</v>
      </c>
      <c r="M7">
        <v>1.692345E-2</v>
      </c>
      <c r="P7">
        <v>730667</v>
      </c>
      <c r="Q7" s="2">
        <v>36707</v>
      </c>
      <c r="R7" s="4">
        <v>6.7693799999999998E-2</v>
      </c>
      <c r="S7">
        <v>1.5190662417436496E-2</v>
      </c>
      <c r="T7">
        <v>2.3447598024035177E-2</v>
      </c>
      <c r="U7">
        <v>1.3531792060627379E-2</v>
      </c>
      <c r="V7">
        <v>1.1645655492113827E-2</v>
      </c>
      <c r="W7">
        <v>1.1481729802212515E-2</v>
      </c>
      <c r="X7">
        <v>1.8042474301889211E-3</v>
      </c>
      <c r="Y7">
        <v>2.2548611657800866E-2</v>
      </c>
      <c r="Z7">
        <v>2.2064292207255587E-2</v>
      </c>
      <c r="AA7">
        <v>1.8077388149939422E-2</v>
      </c>
      <c r="AB7">
        <v>1.8737722258600709E-2</v>
      </c>
      <c r="AC7">
        <v>-3.4573497993851232E-2</v>
      </c>
      <c r="AD7">
        <v>-1.3284128100000001E-2</v>
      </c>
      <c r="AE7">
        <v>3.1885852100000001E-2</v>
      </c>
      <c r="AF7">
        <v>1.4291007495289998E-2</v>
      </c>
      <c r="AG7">
        <v>3.6066623288450672E-2</v>
      </c>
      <c r="AH7">
        <v>-0.17035135858</v>
      </c>
      <c r="AI7">
        <v>3.6155021846000002E-2</v>
      </c>
    </row>
    <row r="8" spans="1:35" x14ac:dyDescent="0.2">
      <c r="A8">
        <v>730758</v>
      </c>
      <c r="B8" s="2">
        <f t="shared" si="8"/>
        <v>36798</v>
      </c>
      <c r="C8">
        <v>7.3977870732693241E-3</v>
      </c>
      <c r="D8">
        <v>2.5945731828084906E-2</v>
      </c>
      <c r="E8">
        <v>3.3111302875376197E-2</v>
      </c>
      <c r="F8">
        <v>3.4822366316372623E-2</v>
      </c>
      <c r="G8">
        <v>1.7028125000000002E-2</v>
      </c>
      <c r="I8">
        <v>-2.680820788451415E-2</v>
      </c>
      <c r="J8">
        <v>5.4204318861057312E-3</v>
      </c>
      <c r="K8">
        <v>6.1251892643410279E-3</v>
      </c>
      <c r="L8">
        <v>1.3126502564661982E-2</v>
      </c>
      <c r="M8">
        <v>1.7028125000000002E-2</v>
      </c>
      <c r="P8">
        <v>730758</v>
      </c>
      <c r="Q8" s="2">
        <v>36798</v>
      </c>
      <c r="R8" s="4">
        <v>6.8112500000000006E-2</v>
      </c>
      <c r="S8">
        <v>2.5945731828084906E-2</v>
      </c>
      <c r="T8">
        <v>2.1385400134655619E-2</v>
      </c>
      <c r="U8">
        <v>3.2273095326005197E-2</v>
      </c>
      <c r="V8">
        <v>5.4205085219334315E-3</v>
      </c>
      <c r="W8">
        <v>4.4577015494241312E-2</v>
      </c>
      <c r="X8">
        <v>5.0174592159324849E-2</v>
      </c>
      <c r="Y8">
        <v>3.2268707931899288E-2</v>
      </c>
      <c r="Z8">
        <v>4.0426908150064778E-2</v>
      </c>
      <c r="AA8">
        <v>3.1771482867153811E-2</v>
      </c>
      <c r="AB8">
        <v>1.3646477132261969E-2</v>
      </c>
      <c r="AC8">
        <v>7.3977870732693241E-3</v>
      </c>
      <c r="AD8">
        <v>-1.3284128100000001E-2</v>
      </c>
      <c r="AE8">
        <v>3.1885852100000001E-2</v>
      </c>
      <c r="AF8">
        <v>3.5741644577278686E-2</v>
      </c>
      <c r="AG8">
        <v>2.2979659368293937E-2</v>
      </c>
      <c r="AH8">
        <v>-0.17035135858</v>
      </c>
      <c r="AI8">
        <v>3.6155021846000002E-2</v>
      </c>
    </row>
    <row r="9" spans="1:35" x14ac:dyDescent="0.2">
      <c r="A9">
        <v>730849</v>
      </c>
      <c r="B9" s="2">
        <f t="shared" si="8"/>
        <v>36889</v>
      </c>
      <c r="C9">
        <v>-9.005702651749814E-2</v>
      </c>
      <c r="D9">
        <v>5.0106177606177749E-2</v>
      </c>
      <c r="E9">
        <v>8.8476753533377472E-3</v>
      </c>
      <c r="F9">
        <v>4.4335480833566233E-2</v>
      </c>
      <c r="G9">
        <v>1.5996875000000001E-2</v>
      </c>
      <c r="I9">
        <v>-0.12323177147528161</v>
      </c>
      <c r="J9">
        <v>3.0612127664198574E-2</v>
      </c>
      <c r="K9">
        <v>-1.7107188257697421E-2</v>
      </c>
      <c r="L9">
        <v>2.3670867081855593E-2</v>
      </c>
      <c r="M9">
        <v>1.5996875000000001E-2</v>
      </c>
      <c r="P9">
        <v>730849</v>
      </c>
      <c r="Q9" s="2">
        <v>36889</v>
      </c>
      <c r="R9" s="4">
        <v>6.3987500000000003E-2</v>
      </c>
      <c r="S9">
        <v>5.0106177606177749E-2</v>
      </c>
      <c r="T9">
        <v>3.7882215117437168E-2</v>
      </c>
      <c r="U9">
        <v>3.1768490897450041E-2</v>
      </c>
      <c r="V9">
        <v>-5.1578479324144055E-2</v>
      </c>
      <c r="W9">
        <v>3.6566986594749107E-2</v>
      </c>
      <c r="X9">
        <v>1.8633703245295896E-2</v>
      </c>
      <c r="Y9">
        <v>3.8792644207206628E-2</v>
      </c>
      <c r="Z9">
        <v>5.4787068697544239E-2</v>
      </c>
      <c r="AA9">
        <v>3.942672959594784E-2</v>
      </c>
      <c r="AB9">
        <v>8.1052956766336504E-3</v>
      </c>
      <c r="AC9">
        <v>-9.005702651749814E-2</v>
      </c>
      <c r="AD9">
        <v>-5.7104560000000005E-4</v>
      </c>
      <c r="AE9">
        <v>-9.9725752000000001E-3</v>
      </c>
      <c r="AF9">
        <v>3.4827620998697073E-2</v>
      </c>
      <c r="AG9">
        <v>7.332957947321328E-2</v>
      </c>
      <c r="AH9">
        <v>-1.3152235275999994E-2</v>
      </c>
      <c r="AI9">
        <v>-6.7114640392000005E-2</v>
      </c>
    </row>
    <row r="10" spans="1:35" x14ac:dyDescent="0.2">
      <c r="A10">
        <v>730940</v>
      </c>
      <c r="B10" s="2">
        <f t="shared" si="8"/>
        <v>36980</v>
      </c>
      <c r="C10">
        <v>-0.12154309834068711</v>
      </c>
      <c r="D10">
        <v>2.359570185033677E-2</v>
      </c>
      <c r="E10">
        <v>4.3557300668189303E-2</v>
      </c>
      <c r="F10">
        <v>3.0659425365663573E-2</v>
      </c>
      <c r="G10">
        <v>1.2196875000000001E-2</v>
      </c>
      <c r="I10">
        <v>-0.15091784329847058</v>
      </c>
      <c r="J10">
        <v>7.9016519083575966E-3</v>
      </c>
      <c r="K10">
        <v>2.1402437057154132E-2</v>
      </c>
      <c r="L10">
        <v>1.3794811613952931E-2</v>
      </c>
      <c r="M10">
        <v>1.2196875000000001E-2</v>
      </c>
      <c r="P10">
        <v>730940</v>
      </c>
      <c r="Q10" s="2">
        <v>36980</v>
      </c>
      <c r="R10" s="4">
        <v>4.8787500000000004E-2</v>
      </c>
      <c r="S10">
        <v>2.359570185033677E-2</v>
      </c>
      <c r="T10">
        <v>4.8021976324056359E-2</v>
      </c>
      <c r="U10">
        <v>4.0813557594917782E-2</v>
      </c>
      <c r="V10">
        <v>6.4814814814814881E-2</v>
      </c>
      <c r="W10">
        <v>3.5583103764921908E-2</v>
      </c>
      <c r="X10">
        <v>3.301772649810264E-2</v>
      </c>
      <c r="Y10">
        <v>2.7313100647186062E-2</v>
      </c>
      <c r="Z10">
        <v>3.1606866573344217E-2</v>
      </c>
      <c r="AA10">
        <v>3.305830887646044E-2</v>
      </c>
      <c r="AB10">
        <v>2.1612380345636728E-2</v>
      </c>
      <c r="AC10">
        <v>-0.12154309834068711</v>
      </c>
      <c r="AD10">
        <v>-6.3069692699999999E-2</v>
      </c>
      <c r="AE10">
        <v>8.5207982799999998E-2</v>
      </c>
      <c r="AF10">
        <v>3.3745350709337485E-2</v>
      </c>
      <c r="AG10">
        <v>2.1136408610284763E-2</v>
      </c>
      <c r="AH10">
        <v>-3.9913492706999995E-2</v>
      </c>
      <c r="AI10">
        <v>0.21453554891999999</v>
      </c>
    </row>
    <row r="11" spans="1:35" x14ac:dyDescent="0.2">
      <c r="A11">
        <v>731031</v>
      </c>
      <c r="B11" s="2">
        <f t="shared" si="8"/>
        <v>37071</v>
      </c>
      <c r="C11">
        <v>6.8794483706238863E-2</v>
      </c>
      <c r="D11">
        <v>-4.0320408053305945E-3</v>
      </c>
      <c r="E11">
        <v>1.6843131127976779E-2</v>
      </c>
      <c r="F11">
        <v>7.8964102575887676E-3</v>
      </c>
      <c r="G11">
        <v>9.5906250000000002E-3</v>
      </c>
      <c r="I11">
        <v>4.2025988748455395E-2</v>
      </c>
      <c r="J11">
        <v>-1.7119840747309767E-2</v>
      </c>
      <c r="K11">
        <v>-2.7054824830583888E-3</v>
      </c>
      <c r="L11">
        <v>-6.3619534941218728E-3</v>
      </c>
      <c r="M11">
        <v>9.5906250000000002E-3</v>
      </c>
      <c r="P11">
        <v>731031</v>
      </c>
      <c r="Q11" s="2">
        <v>37071</v>
      </c>
      <c r="R11" s="4">
        <v>3.8362500000000001E-2</v>
      </c>
      <c r="S11">
        <v>-4.0320408053305945E-3</v>
      </c>
      <c r="T11">
        <v>1.6290342730374441E-2</v>
      </c>
      <c r="U11">
        <v>9.1839399918700604E-3</v>
      </c>
      <c r="V11">
        <v>-2.2289488167308691E-2</v>
      </c>
      <c r="W11">
        <v>3.6429468706125512E-2</v>
      </c>
      <c r="X11">
        <v>4.4048603981220236E-2</v>
      </c>
      <c r="Y11">
        <v>1.0183502725584548E-2</v>
      </c>
      <c r="Z11">
        <v>2.7853163833737593E-3</v>
      </c>
      <c r="AA11">
        <v>1.0720411663807994E-2</v>
      </c>
      <c r="AB11">
        <v>1.0972269365266074E-2</v>
      </c>
      <c r="AC11">
        <v>6.8794483706238863E-2</v>
      </c>
      <c r="AD11">
        <v>-6.0696757599999998E-2</v>
      </c>
      <c r="AE11">
        <v>9.2868611E-3</v>
      </c>
      <c r="AF11">
        <v>3.4281622888205687E-2</v>
      </c>
      <c r="AG11">
        <v>-1.6631299121150633E-2</v>
      </c>
      <c r="AH11">
        <v>-8.7003631166999995E-2</v>
      </c>
      <c r="AI11">
        <v>-6.5576080307999982E-2</v>
      </c>
    </row>
    <row r="12" spans="1:35" x14ac:dyDescent="0.2">
      <c r="A12">
        <v>731122</v>
      </c>
      <c r="B12" s="2">
        <f t="shared" si="8"/>
        <v>37162</v>
      </c>
      <c r="C12">
        <v>-0.15619304441213011</v>
      </c>
      <c r="D12">
        <v>5.5009061482837351E-2</v>
      </c>
      <c r="E12">
        <v>-1.7271059925205723E-4</v>
      </c>
      <c r="F12">
        <v>5.2769619467064675E-2</v>
      </c>
      <c r="G12">
        <v>6.4749999999999999E-3</v>
      </c>
      <c r="I12">
        <v>-0.1798459143699136</v>
      </c>
      <c r="J12">
        <v>4.5036886540858176E-2</v>
      </c>
      <c r="K12">
        <v>-1.6605699210287227E-2</v>
      </c>
      <c r="L12">
        <v>4.1626880715354031E-2</v>
      </c>
      <c r="M12">
        <v>6.4749999999999999E-3</v>
      </c>
      <c r="P12">
        <v>731122</v>
      </c>
      <c r="Q12" s="2">
        <v>37162</v>
      </c>
      <c r="R12" s="4">
        <v>2.5899999999999999E-2</v>
      </c>
      <c r="S12">
        <v>5.5009061482837351E-2</v>
      </c>
      <c r="T12">
        <v>2.4020926402557041E-2</v>
      </c>
      <c r="U12">
        <v>4.060022047091516E-2</v>
      </c>
      <c r="V12">
        <v>-4.2105263157894868E-2</v>
      </c>
      <c r="W12">
        <v>1.6968487095394336E-2</v>
      </c>
      <c r="X12">
        <v>-1.6154286805422857E-2</v>
      </c>
      <c r="Y12">
        <v>4.2112233401197852E-2</v>
      </c>
      <c r="Z12">
        <v>6.4382878712342384E-2</v>
      </c>
      <c r="AA12">
        <v>5.1813746287653784E-2</v>
      </c>
      <c r="AB12">
        <v>-3.1232187892804575E-5</v>
      </c>
      <c r="AC12">
        <v>-0.15619304441213011</v>
      </c>
      <c r="AD12">
        <v>3.3676223900000003E-2</v>
      </c>
      <c r="AE12">
        <v>2.14307132E-2</v>
      </c>
      <c r="AF12">
        <v>-9.3752824955077863E-3</v>
      </c>
      <c r="AG12">
        <v>1.073397563298939E-2</v>
      </c>
      <c r="AH12">
        <v>9.4468555691999995E-2</v>
      </c>
      <c r="AI12">
        <v>-1.5845140278000013E-2</v>
      </c>
    </row>
    <row r="13" spans="1:35" x14ac:dyDescent="0.2">
      <c r="A13">
        <v>731216</v>
      </c>
      <c r="B13" s="2">
        <f t="shared" si="8"/>
        <v>37256</v>
      </c>
      <c r="C13">
        <v>0.11761727586479198</v>
      </c>
      <c r="D13">
        <v>-7.5036321681907214E-3</v>
      </c>
      <c r="E13">
        <v>3.5258028590934909E-2</v>
      </c>
      <c r="F13">
        <v>-1.6772034509301055E-3</v>
      </c>
      <c r="G13">
        <v>4.7031249999999998E-3</v>
      </c>
      <c r="I13">
        <v>9.5736280907008503E-2</v>
      </c>
      <c r="J13">
        <v>-1.5703932110169894E-2</v>
      </c>
      <c r="K13">
        <v>2.0596914979899742E-2</v>
      </c>
      <c r="L13">
        <v>-1.1048067202640746E-2</v>
      </c>
      <c r="M13">
        <v>4.7031249999999998E-3</v>
      </c>
      <c r="P13">
        <v>731216</v>
      </c>
      <c r="Q13" s="2">
        <v>37256</v>
      </c>
      <c r="R13" s="4">
        <v>1.8812499999999999E-2</v>
      </c>
      <c r="S13">
        <v>-7.5036321681907214E-3</v>
      </c>
      <c r="T13">
        <v>-1.0762797924834144E-2</v>
      </c>
      <c r="U13">
        <v>2.8219226723167345E-3</v>
      </c>
      <c r="V13">
        <v>5.7530704589528137E-2</v>
      </c>
      <c r="W13">
        <v>4.6831183398766241E-2</v>
      </c>
      <c r="X13">
        <v>3.3848303703128524E-2</v>
      </c>
      <c r="Y13">
        <v>6.7334958223885799E-4</v>
      </c>
      <c r="Z13">
        <v>-5.5536968885914195E-3</v>
      </c>
      <c r="AA13">
        <v>-1.5126304643775512E-4</v>
      </c>
      <c r="AB13">
        <v>9.3543324301743613E-3</v>
      </c>
      <c r="AC13">
        <v>0.11761727586479198</v>
      </c>
      <c r="AD13">
        <v>2.3843226000000001E-3</v>
      </c>
      <c r="AE13">
        <v>-3.6921694000000001E-3</v>
      </c>
      <c r="AF13">
        <v>4.8115723000594857E-2</v>
      </c>
      <c r="AG13">
        <v>2.4202054692126218E-2</v>
      </c>
      <c r="AH13">
        <v>7.7050169599999904E-3</v>
      </c>
      <c r="AI13">
        <v>-8.1777455676000019E-2</v>
      </c>
    </row>
    <row r="14" spans="1:35" x14ac:dyDescent="0.2">
      <c r="A14">
        <v>731304</v>
      </c>
      <c r="B14" s="2">
        <f t="shared" si="8"/>
        <v>37344</v>
      </c>
      <c r="C14">
        <v>9.6756496151353399E-3</v>
      </c>
      <c r="D14">
        <v>-8.6367237281713694E-3</v>
      </c>
      <c r="E14">
        <v>2.1760581406324905E-2</v>
      </c>
      <c r="F14">
        <v>7.6919853290445444E-3</v>
      </c>
      <c r="G14">
        <v>5.0749999999999997E-3</v>
      </c>
      <c r="I14">
        <v>-1.2577220342648132E-2</v>
      </c>
      <c r="J14">
        <v>-1.7208898670150543E-2</v>
      </c>
      <c r="K14">
        <v>6.7275927952897378E-3</v>
      </c>
      <c r="L14">
        <v>-2.0507534226660955E-3</v>
      </c>
      <c r="M14">
        <v>5.0749999999999997E-3</v>
      </c>
      <c r="P14">
        <v>731304</v>
      </c>
      <c r="Q14" s="2">
        <v>37344</v>
      </c>
      <c r="R14" s="4">
        <v>2.0299999999999999E-2</v>
      </c>
      <c r="S14">
        <v>-8.6367237281713694E-3</v>
      </c>
      <c r="T14">
        <v>1.4858764854807749E-2</v>
      </c>
      <c r="U14">
        <v>-2.6628799936044278E-3</v>
      </c>
      <c r="V14">
        <v>1.7226050233385193E-2</v>
      </c>
      <c r="W14">
        <v>2.2435038842753885E-2</v>
      </c>
      <c r="X14">
        <v>5.0044116542764971E-2</v>
      </c>
      <c r="Y14">
        <v>9.9418086699394337E-3</v>
      </c>
      <c r="Z14">
        <v>8.3434261875925397E-3</v>
      </c>
      <c r="AA14">
        <v>4.7907211296016605E-3</v>
      </c>
      <c r="AB14">
        <v>1.4048442371215941E-2</v>
      </c>
      <c r="AC14">
        <v>9.6756496151353399E-3</v>
      </c>
      <c r="AD14">
        <v>2.3843226000000001E-3</v>
      </c>
      <c r="AE14">
        <v>-3.6921694000000001E-3</v>
      </c>
      <c r="AF14">
        <v>2.274456073464437E-2</v>
      </c>
      <c r="AG14">
        <v>2.9584447965457006E-2</v>
      </c>
      <c r="AH14">
        <v>7.7050169599999904E-3</v>
      </c>
      <c r="AI14">
        <v>-8.1777455676000019E-2</v>
      </c>
    </row>
    <row r="15" spans="1:35" x14ac:dyDescent="0.2">
      <c r="A15">
        <v>731395</v>
      </c>
      <c r="B15" s="2">
        <f t="shared" si="8"/>
        <v>37435</v>
      </c>
      <c r="C15">
        <v>-0.13085966443284547</v>
      </c>
      <c r="D15">
        <v>4.516672602037719E-2</v>
      </c>
      <c r="E15">
        <v>-4.5470474714862374E-3</v>
      </c>
      <c r="F15">
        <v>4.3306817521480356E-2</v>
      </c>
      <c r="G15">
        <v>4.6500000000000005E-3</v>
      </c>
      <c r="I15">
        <v>-0.15268753439062893</v>
      </c>
      <c r="J15">
        <v>3.7019551078398015E-2</v>
      </c>
      <c r="K15">
        <v>-1.9155036082521407E-2</v>
      </c>
      <c r="L15">
        <v>3.3989078769769712E-2</v>
      </c>
      <c r="M15">
        <v>4.6500000000000005E-3</v>
      </c>
      <c r="P15">
        <v>731395</v>
      </c>
      <c r="Q15" s="2">
        <v>37435</v>
      </c>
      <c r="R15" s="4">
        <v>1.8600000000000002E-2</v>
      </c>
      <c r="S15">
        <v>4.516672602037719E-2</v>
      </c>
      <c r="T15">
        <v>5.8388099872778598E-2</v>
      </c>
      <c r="U15">
        <v>3.0580194899859636E-2</v>
      </c>
      <c r="V15">
        <v>-4.9983611930514593E-2</v>
      </c>
      <c r="W15">
        <v>2.6396803563240923E-2</v>
      </c>
      <c r="X15">
        <v>-2.5181576418530915E-2</v>
      </c>
      <c r="Y15">
        <v>3.4786933551044896E-2</v>
      </c>
      <c r="Z15">
        <v>5.5585212865340905E-2</v>
      </c>
      <c r="AA15">
        <v>3.9548306148055268E-2</v>
      </c>
      <c r="AB15">
        <v>2.8073815826614723E-3</v>
      </c>
      <c r="AC15">
        <v>-0.13085966443284547</v>
      </c>
      <c r="AD15">
        <v>-4.0487570999999997E-3</v>
      </c>
      <c r="AE15">
        <v>1.5680072699999999E-2</v>
      </c>
      <c r="AF15">
        <v>1.6423116471729671E-2</v>
      </c>
      <c r="AG15">
        <v>6.8175465601467589E-2</v>
      </c>
      <c r="AH15">
        <v>4.5106412860999999E-2</v>
      </c>
      <c r="AI15">
        <v>7.525370536199999E-2</v>
      </c>
    </row>
    <row r="16" spans="1:35" x14ac:dyDescent="0.2">
      <c r="A16">
        <v>731489</v>
      </c>
      <c r="B16" s="2">
        <f t="shared" si="8"/>
        <v>37529</v>
      </c>
      <c r="C16">
        <v>-0.17232952231199861</v>
      </c>
      <c r="D16">
        <v>7.4022056195929498E-2</v>
      </c>
      <c r="E16">
        <v>1.8643480187410244E-2</v>
      </c>
      <c r="F16">
        <v>4.3172689444686219E-2</v>
      </c>
      <c r="G16">
        <v>4.4749999999999998E-3</v>
      </c>
      <c r="I16">
        <v>-0.19398239226978209</v>
      </c>
      <c r="J16">
        <v>6.6049881253950324E-2</v>
      </c>
      <c r="K16">
        <v>4.2104915763750764E-3</v>
      </c>
      <c r="L16">
        <v>3.4029950692975576E-2</v>
      </c>
      <c r="M16">
        <v>4.4749999999999998E-3</v>
      </c>
      <c r="P16">
        <v>731489</v>
      </c>
      <c r="Q16" s="2">
        <v>37529</v>
      </c>
      <c r="R16" s="4">
        <v>1.7899999999999999E-2</v>
      </c>
      <c r="S16">
        <v>7.4022056195929498E-2</v>
      </c>
      <c r="T16">
        <v>7.9503694851767559E-2</v>
      </c>
      <c r="U16">
        <v>4.0363350408889165E-2</v>
      </c>
      <c r="V16">
        <v>-2.995802426542471E-2</v>
      </c>
      <c r="W16">
        <v>5.5328653477983547E-2</v>
      </c>
      <c r="X16">
        <v>8.8399411281929741E-3</v>
      </c>
      <c r="Y16">
        <v>2.6634624104470817E-2</v>
      </c>
      <c r="Z16">
        <v>7.0295214615335944E-2</v>
      </c>
      <c r="AA16">
        <v>3.2588229614251896E-2</v>
      </c>
      <c r="AB16">
        <v>-1.1502384919095276E-2</v>
      </c>
      <c r="AC16">
        <v>-0.17232952231199861</v>
      </c>
      <c r="AD16">
        <v>-4.7674334899999997E-2</v>
      </c>
      <c r="AE16">
        <v>3.4598227199999998E-2</v>
      </c>
      <c r="AF16">
        <v>-2.3046823916976766E-3</v>
      </c>
      <c r="AG16">
        <v>5.4867792698716E-2</v>
      </c>
      <c r="AH16">
        <v>-8.0961603566999982E-2</v>
      </c>
      <c r="AI16">
        <v>1.8527321443999989E-2</v>
      </c>
    </row>
    <row r="17" spans="1:35" x14ac:dyDescent="0.2">
      <c r="A17">
        <v>731581</v>
      </c>
      <c r="B17" s="2">
        <f t="shared" si="8"/>
        <v>37621</v>
      </c>
      <c r="C17">
        <v>8.0226143880610667E-2</v>
      </c>
      <c r="D17">
        <v>4.5807669689561514E-3</v>
      </c>
      <c r="E17">
        <v>6.0375326154868181E-2</v>
      </c>
      <c r="F17">
        <v>1.1113163120751427E-2</v>
      </c>
      <c r="G17">
        <v>3.4499999999999999E-3</v>
      </c>
      <c r="I17">
        <v>5.9598273922827197E-2</v>
      </c>
      <c r="J17">
        <v>-2.3664079730230216E-3</v>
      </c>
      <c r="K17">
        <v>4.6967337543833011E-2</v>
      </c>
      <c r="L17">
        <v>2.9954243690407866E-3</v>
      </c>
      <c r="M17">
        <v>3.4499999999999999E-3</v>
      </c>
      <c r="P17">
        <v>731581</v>
      </c>
      <c r="Q17" s="2">
        <v>37621</v>
      </c>
      <c r="R17" s="4">
        <v>1.38E-2</v>
      </c>
      <c r="S17">
        <v>4.5807669689561514E-3</v>
      </c>
      <c r="T17">
        <v>5.3061932889622021E-3</v>
      </c>
      <c r="U17">
        <v>2.7862177759042206E-2</v>
      </c>
      <c r="V17">
        <v>6.419679905157083E-2</v>
      </c>
      <c r="W17">
        <v>4.8860131825603004E-2</v>
      </c>
      <c r="X17">
        <v>0.10058219598325668</v>
      </c>
      <c r="Y17">
        <v>1.3585732331039768E-2</v>
      </c>
      <c r="Z17">
        <v>1.3348296025042838E-2</v>
      </c>
      <c r="AA17">
        <v>6.4054610061716755E-3</v>
      </c>
      <c r="AB17">
        <v>1.386034985647111E-2</v>
      </c>
      <c r="AC17">
        <v>8.0226143880610667E-2</v>
      </c>
      <c r="AD17">
        <v>1.4693802E-3</v>
      </c>
      <c r="AE17">
        <v>-2.00520948E-2</v>
      </c>
      <c r="AF17">
        <v>3.4236250971093618E-2</v>
      </c>
      <c r="AG17">
        <v>9.5229315733338704E-2</v>
      </c>
      <c r="AH17">
        <v>4.6485392287999999E-2</v>
      </c>
      <c r="AI17">
        <v>-7.9442209455999988E-2</v>
      </c>
    </row>
    <row r="18" spans="1:35" x14ac:dyDescent="0.2">
      <c r="A18">
        <v>731671</v>
      </c>
      <c r="B18" s="2">
        <f t="shared" si="8"/>
        <v>37711</v>
      </c>
      <c r="C18">
        <v>-3.0427596728397677E-2</v>
      </c>
      <c r="D18">
        <v>9.8900083186985732E-3</v>
      </c>
      <c r="E18">
        <v>4.3278203136444815E-2</v>
      </c>
      <c r="F18">
        <v>1.3729916451414933E-2</v>
      </c>
      <c r="G18">
        <v>3.1968750000000001E-3</v>
      </c>
      <c r="I18">
        <v>-5.0802341686181154E-2</v>
      </c>
      <c r="J18">
        <v>3.1959583767194001E-3</v>
      </c>
      <c r="K18">
        <v>3.0123339525409645E-2</v>
      </c>
      <c r="L18">
        <v>5.865302699704293E-3</v>
      </c>
      <c r="M18">
        <v>3.1968750000000001E-3</v>
      </c>
      <c r="P18">
        <v>731671</v>
      </c>
      <c r="Q18" s="2">
        <v>37711</v>
      </c>
      <c r="R18" s="4">
        <v>1.27875E-2</v>
      </c>
      <c r="S18">
        <v>9.8900083186985732E-3</v>
      </c>
      <c r="T18">
        <v>2.8335900330670682E-2</v>
      </c>
      <c r="U18">
        <v>2.4102761120040617E-2</v>
      </c>
      <c r="V18">
        <v>7.5029243023450043E-2</v>
      </c>
      <c r="W18">
        <v>2.6578264629576243E-2</v>
      </c>
      <c r="X18">
        <v>4.7402543772712358E-2</v>
      </c>
      <c r="Y18">
        <v>9.2465902653708909E-3</v>
      </c>
      <c r="Z18">
        <v>1.6844436673078222E-2</v>
      </c>
      <c r="AA18">
        <v>1.5098722415795685E-2</v>
      </c>
      <c r="AB18">
        <v>1.9667526947016789E-2</v>
      </c>
      <c r="AC18">
        <v>-3.0427596728397677E-2</v>
      </c>
      <c r="AD18">
        <v>-3.3533522000000001E-3</v>
      </c>
      <c r="AE18">
        <v>1.21980471E-2</v>
      </c>
      <c r="AF18">
        <v>1.6775388786598455E-2</v>
      </c>
      <c r="AG18">
        <v>-1.2761854299108144E-3</v>
      </c>
      <c r="AH18">
        <v>1.1947092393E-2</v>
      </c>
      <c r="AI18">
        <v>3.4494918016999998E-2</v>
      </c>
    </row>
    <row r="19" spans="1:35" x14ac:dyDescent="0.2">
      <c r="A19">
        <v>731762</v>
      </c>
      <c r="B19" s="2">
        <f t="shared" si="8"/>
        <v>37802</v>
      </c>
      <c r="C19">
        <v>0.16243061322610242</v>
      </c>
      <c r="D19">
        <v>2.7297272560864227E-2</v>
      </c>
      <c r="E19">
        <v>7.4891015410666339E-2</v>
      </c>
      <c r="F19">
        <v>2.0607793454936092E-2</v>
      </c>
      <c r="G19">
        <v>2.7906249999999997E-3</v>
      </c>
      <c r="I19">
        <v>0.14246211826831895</v>
      </c>
      <c r="J19">
        <v>2.1009472618885056E-2</v>
      </c>
      <c r="K19">
        <v>6.2142401799631167E-2</v>
      </c>
      <c r="L19">
        <v>1.3149429703225451E-2</v>
      </c>
      <c r="M19">
        <v>2.7906249999999997E-3</v>
      </c>
      <c r="P19">
        <v>731762</v>
      </c>
      <c r="Q19" s="2">
        <v>37802</v>
      </c>
      <c r="R19" s="4">
        <v>1.1162499999999999E-2</v>
      </c>
      <c r="S19">
        <v>2.7297272560864227E-2</v>
      </c>
      <c r="T19">
        <v>3.4072424337122653E-2</v>
      </c>
      <c r="U19">
        <v>4.3110655528046715E-2</v>
      </c>
      <c r="V19">
        <v>0.10098445595854932</v>
      </c>
      <c r="W19">
        <v>5.9698977872627124E-2</v>
      </c>
      <c r="X19">
        <v>9.5769972283442195E-2</v>
      </c>
      <c r="Y19">
        <v>6.649050999084638E-3</v>
      </c>
      <c r="Z19">
        <v>3.6684626848561219E-2</v>
      </c>
      <c r="AA19">
        <v>1.8489702517162421E-2</v>
      </c>
      <c r="AB19">
        <v>3.5553967438640477E-2</v>
      </c>
      <c r="AC19">
        <v>0.16243061322610242</v>
      </c>
      <c r="AD19">
        <v>7.0492419799999997E-2</v>
      </c>
      <c r="AE19">
        <v>2.67679189E-2</v>
      </c>
      <c r="AF19">
        <v>7.5854008832968223E-2</v>
      </c>
      <c r="AG19">
        <v>6.3807221398836322E-2</v>
      </c>
      <c r="AH19">
        <v>9.5890367704999993E-2</v>
      </c>
      <c r="AI19">
        <v>7.1573671356999991E-2</v>
      </c>
    </row>
    <row r="20" spans="1:35" x14ac:dyDescent="0.2">
      <c r="A20">
        <v>731854</v>
      </c>
      <c r="B20" s="2">
        <f t="shared" si="8"/>
        <v>37894</v>
      </c>
      <c r="C20">
        <v>3.4254237128810594E-2</v>
      </c>
      <c r="D20">
        <v>-9.2508036914121794E-3</v>
      </c>
      <c r="E20">
        <v>1.3855514004828193E-2</v>
      </c>
      <c r="F20">
        <v>2.3984209606268495E-4</v>
      </c>
      <c r="G20">
        <v>2.8999999999999998E-3</v>
      </c>
      <c r="I20">
        <v>1.4176367171027122E-2</v>
      </c>
      <c r="J20">
        <v>-1.5647978633391353E-2</v>
      </c>
      <c r="K20">
        <v>9.9752539379302507E-4</v>
      </c>
      <c r="L20">
        <v>-7.3278966556479547E-3</v>
      </c>
      <c r="M20">
        <v>2.8999999999999998E-3</v>
      </c>
      <c r="P20">
        <v>731854</v>
      </c>
      <c r="Q20" s="2">
        <v>37894</v>
      </c>
      <c r="R20" s="4">
        <v>1.1599999999999999E-2</v>
      </c>
      <c r="S20">
        <v>-9.2508036914121794E-3</v>
      </c>
      <c r="T20">
        <v>3.081057908930207E-3</v>
      </c>
      <c r="U20">
        <v>1.4282381122238674E-3</v>
      </c>
      <c r="V20">
        <v>2.7813073556402612E-2</v>
      </c>
      <c r="W20">
        <v>3.4448036461922626E-3</v>
      </c>
      <c r="X20">
        <v>2.2735940704494029E-2</v>
      </c>
      <c r="Y20">
        <v>5.0868103211638704E-3</v>
      </c>
      <c r="Z20">
        <v>-7.2431715138780994E-3</v>
      </c>
      <c r="AA20">
        <v>2.8758874809022839E-3</v>
      </c>
      <c r="AB20">
        <v>1.7770493217451389E-2</v>
      </c>
      <c r="AC20">
        <v>3.4254237128810594E-2</v>
      </c>
      <c r="AD20">
        <v>5.2357227200000002E-2</v>
      </c>
      <c r="AE20">
        <v>2.7393722299999999E-2</v>
      </c>
      <c r="AF20">
        <v>4.5987231048508104E-2</v>
      </c>
      <c r="AG20">
        <v>8.5835926680841501E-2</v>
      </c>
      <c r="AH20">
        <v>5.6348441067999994E-2</v>
      </c>
      <c r="AI20">
        <v>2.231670141299999E-2</v>
      </c>
    </row>
    <row r="21" spans="1:35" x14ac:dyDescent="0.2">
      <c r="A21">
        <v>731946</v>
      </c>
      <c r="B21" s="2">
        <f t="shared" si="8"/>
        <v>37986</v>
      </c>
      <c r="C21">
        <v>0.12430356737105219</v>
      </c>
      <c r="D21">
        <v>-5.2980628723443557E-3</v>
      </c>
      <c r="E21">
        <v>2.7927403039792964E-2</v>
      </c>
      <c r="F21">
        <v>4.4205613993852184E-3</v>
      </c>
      <c r="G21">
        <v>2.8797000000000002E-3</v>
      </c>
      <c r="I21">
        <v>0.10424599741326872</v>
      </c>
      <c r="J21" s="1">
        <v>-1.1674937814323529E-2</v>
      </c>
      <c r="K21">
        <v>1.5089714428757797E-2</v>
      </c>
      <c r="L21">
        <v>-3.126877352325422E-3</v>
      </c>
      <c r="M21">
        <v>2.8797000000000002E-3</v>
      </c>
      <c r="P21">
        <v>731946</v>
      </c>
      <c r="Q21" s="2">
        <v>37986</v>
      </c>
      <c r="R21" s="4">
        <v>1.1518800000000001E-2</v>
      </c>
      <c r="S21">
        <v>-5.2980628723443557E-3</v>
      </c>
      <c r="T21">
        <v>1.6281813155903935E-2</v>
      </c>
      <c r="U21">
        <v>4.7048067495287782E-3</v>
      </c>
      <c r="V21">
        <v>5.8562271062271076E-2</v>
      </c>
      <c r="W21">
        <v>7.2884757578959292E-3</v>
      </c>
      <c r="X21">
        <v>4.1154058589476072E-2</v>
      </c>
      <c r="Y21">
        <v>9.3454753390402878E-3</v>
      </c>
      <c r="Z21">
        <v>7.7972709551654695E-4</v>
      </c>
      <c r="AA21">
        <v>3.1364817635988196E-3</v>
      </c>
      <c r="AB21">
        <v>2.3287351937787415E-2</v>
      </c>
      <c r="AC21">
        <v>0.12430356737105219</v>
      </c>
      <c r="AD21">
        <v>9.3253495399999997E-2</v>
      </c>
      <c r="AE21">
        <v>4.4753744999999998E-2</v>
      </c>
      <c r="AF21">
        <v>6.0906500597061486E-2</v>
      </c>
      <c r="AG21">
        <v>9.7219588570794158E-2</v>
      </c>
      <c r="AH21">
        <v>0.10388104534099998</v>
      </c>
      <c r="AI21">
        <v>7.9738399555999984E-2</v>
      </c>
    </row>
    <row r="22" spans="1:35" x14ac:dyDescent="0.2">
      <c r="A22">
        <v>732037</v>
      </c>
      <c r="B22" s="2">
        <f t="shared" si="8"/>
        <v>38077</v>
      </c>
      <c r="C22">
        <v>2.2331984656612791E-2</v>
      </c>
      <c r="D22">
        <v>3.0601636306106572E-2</v>
      </c>
      <c r="E22">
        <v>3.4059182753724854E-2</v>
      </c>
      <c r="F22">
        <v>2.5007026900245071E-2</v>
      </c>
      <c r="G22">
        <v>2.7750000000000001E-3</v>
      </c>
      <c r="I22">
        <v>2.3791146988293189E-3</v>
      </c>
      <c r="J22">
        <v>2.4329461364127399E-2</v>
      </c>
      <c r="K22">
        <v>2.1326194142689686E-2</v>
      </c>
      <c r="L22">
        <v>1.7564288148534432E-2</v>
      </c>
      <c r="M22">
        <v>2.7750000000000001E-3</v>
      </c>
      <c r="P22">
        <v>732037</v>
      </c>
      <c r="Q22" s="2">
        <v>38077</v>
      </c>
      <c r="R22" s="4">
        <v>1.11E-2</v>
      </c>
      <c r="S22">
        <v>3.0601636306106572E-2</v>
      </c>
      <c r="T22">
        <v>5.1397830349223295E-2</v>
      </c>
      <c r="U22">
        <v>2.8834774630441262E-2</v>
      </c>
      <c r="V22">
        <v>2.3789956312989302E-2</v>
      </c>
      <c r="W22">
        <v>4.5983640939597281E-2</v>
      </c>
      <c r="X22">
        <v>3.7628359131871569E-2</v>
      </c>
      <c r="Y22">
        <v>1.9194344855577139E-2</v>
      </c>
      <c r="Z22">
        <v>3.2778674383660888E-2</v>
      </c>
      <c r="AA22">
        <v>2.3048061461497182E-2</v>
      </c>
      <c r="AB22">
        <v>1.4633203567188557E-2</v>
      </c>
      <c r="AC22">
        <v>2.2331984656612791E-2</v>
      </c>
      <c r="AD22">
        <v>2.9373010000000001E-2</v>
      </c>
      <c r="AE22">
        <v>1.38666859E-2</v>
      </c>
      <c r="AF22">
        <v>4.3904802348033511E-2</v>
      </c>
      <c r="AG22">
        <v>7.3223962740334381E-2</v>
      </c>
      <c r="AH22">
        <v>-1.3216226229999933E-3</v>
      </c>
      <c r="AI22">
        <v>-4.3101631780999988E-2</v>
      </c>
    </row>
    <row r="23" spans="1:35" x14ac:dyDescent="0.2">
      <c r="A23">
        <v>732128</v>
      </c>
      <c r="B23" s="2">
        <f t="shared" si="8"/>
        <v>38168</v>
      </c>
      <c r="C23">
        <v>1.3304181427125306E-2</v>
      </c>
      <c r="D23">
        <v>-3.1615497076023402E-2</v>
      </c>
      <c r="E23">
        <v>-3.6181712134402522E-2</v>
      </c>
      <c r="F23">
        <v>-2.1026809116261275E-2</v>
      </c>
      <c r="G23">
        <v>4.0249999999999999E-3</v>
      </c>
      <c r="I23">
        <v>-7.8986885306581676E-3</v>
      </c>
      <c r="J23">
        <v>-3.9137672018002577E-2</v>
      </c>
      <c r="K23">
        <v>-5.016470074543769E-2</v>
      </c>
      <c r="L23">
        <v>-2.9719547867971916E-2</v>
      </c>
      <c r="M23">
        <v>4.0249999999999999E-3</v>
      </c>
      <c r="P23">
        <v>732128</v>
      </c>
      <c r="Q23" s="2">
        <v>38168</v>
      </c>
      <c r="R23" s="4">
        <v>1.61E-2</v>
      </c>
      <c r="S23">
        <v>-3.1615497076023402E-2</v>
      </c>
      <c r="T23">
        <v>-3.0962880511772206E-2</v>
      </c>
      <c r="U23">
        <v>-2.8367532315107358E-2</v>
      </c>
      <c r="V23">
        <v>-9.6751024546875009E-3</v>
      </c>
      <c r="W23">
        <v>-5.3887412902902443E-2</v>
      </c>
      <c r="X23">
        <v>-5.2796800864912785E-2</v>
      </c>
      <c r="Y23">
        <v>-1.1283123434051689E-2</v>
      </c>
      <c r="Z23">
        <v>-3.3678198081689814E-2</v>
      </c>
      <c r="AA23">
        <v>-1.8119105833042326E-2</v>
      </c>
      <c r="AB23">
        <v>1.211597594492364E-2</v>
      </c>
      <c r="AC23">
        <v>1.3304181427125306E-2</v>
      </c>
      <c r="AD23">
        <v>3.4981327299999997E-2</v>
      </c>
      <c r="AE23">
        <v>4.3078170200000002E-2</v>
      </c>
      <c r="AF23">
        <v>-1.357478775347376E-2</v>
      </c>
      <c r="AG23">
        <v>-5.9311848794938227E-2</v>
      </c>
      <c r="AH23">
        <v>1.8795996429999989E-2</v>
      </c>
      <c r="AI23">
        <v>6.8299320412999992E-2</v>
      </c>
    </row>
    <row r="24" spans="1:35" x14ac:dyDescent="0.2">
      <c r="A24">
        <v>732220</v>
      </c>
      <c r="B24" s="2">
        <f t="shared" si="8"/>
        <v>38260</v>
      </c>
      <c r="C24">
        <v>-1.9001689472595729E-2</v>
      </c>
      <c r="D24">
        <v>3.3047744857520156E-2</v>
      </c>
      <c r="E24">
        <v>5.7062929974686205E-2</v>
      </c>
      <c r="F24">
        <v>2.861068401742221E-2</v>
      </c>
      <c r="G24">
        <v>5.0499999999999998E-3</v>
      </c>
      <c r="I24">
        <v>-4.1229559430379203E-2</v>
      </c>
      <c r="J24">
        <v>2.4500569915540983E-2</v>
      </c>
      <c r="K24">
        <v>4.2054941363651038E-2</v>
      </c>
      <c r="L24">
        <v>1.8892945265711572E-2</v>
      </c>
      <c r="M24">
        <v>5.0499999999999998E-3</v>
      </c>
      <c r="P24">
        <v>732220</v>
      </c>
      <c r="Q24" s="2">
        <v>38260</v>
      </c>
      <c r="R24" s="4">
        <v>2.0199999999999999E-2</v>
      </c>
      <c r="S24">
        <v>3.3047744857520156E-2</v>
      </c>
      <c r="T24">
        <v>3.8390428562563139E-2</v>
      </c>
      <c r="U24">
        <v>3.4751221058660908E-2</v>
      </c>
      <c r="V24">
        <v>4.8464163822525608E-2</v>
      </c>
      <c r="W24">
        <v>5.9499841051181557E-2</v>
      </c>
      <c r="X24">
        <v>8.5536493966376748E-2</v>
      </c>
      <c r="Y24">
        <v>2.6079513987950387E-2</v>
      </c>
      <c r="Z24">
        <v>3.8141972899124355E-2</v>
      </c>
      <c r="AA24">
        <v>2.1610565165191886E-2</v>
      </c>
      <c r="AB24">
        <v>9.1344764311687143E-3</v>
      </c>
      <c r="AC24">
        <v>-1.9001689472595729E-2</v>
      </c>
      <c r="AD24">
        <v>2.27620407E-2</v>
      </c>
      <c r="AE24">
        <v>4.0433202000000001E-2</v>
      </c>
      <c r="AF24">
        <v>1.4756694254418612E-2</v>
      </c>
      <c r="AG24">
        <v>4.0277695490627985E-2</v>
      </c>
      <c r="AH24">
        <v>3.3525350932E-2</v>
      </c>
      <c r="AI24">
        <v>6.6048536024000001E-2</v>
      </c>
    </row>
    <row r="25" spans="1:35" x14ac:dyDescent="0.2">
      <c r="A25">
        <v>732312</v>
      </c>
      <c r="B25" s="2">
        <f t="shared" si="8"/>
        <v>38352</v>
      </c>
      <c r="C25">
        <v>0.10157384169308292</v>
      </c>
      <c r="D25">
        <v>4.2454312291291263E-3</v>
      </c>
      <c r="E25">
        <v>3.4551514415035928E-2</v>
      </c>
      <c r="F25">
        <v>7.6051575075998619E-3</v>
      </c>
      <c r="G25">
        <v>6.4109499999999995E-3</v>
      </c>
      <c r="I25">
        <v>7.7985021735299448E-2</v>
      </c>
      <c r="J25">
        <v>-5.6626937128500462E-3</v>
      </c>
      <c r="K25">
        <v>1.8182575804000761E-2</v>
      </c>
      <c r="L25">
        <v>-3.4735312441107778E-3</v>
      </c>
      <c r="M25">
        <v>6.4109499999999995E-3</v>
      </c>
      <c r="P25">
        <v>732312</v>
      </c>
      <c r="Q25" s="2">
        <v>38352</v>
      </c>
      <c r="R25" s="4">
        <v>2.5643799999999998E-2</v>
      </c>
      <c r="S25">
        <v>4.2454312291291263E-3</v>
      </c>
      <c r="T25">
        <v>2.5168916633214078E-2</v>
      </c>
      <c r="U25">
        <v>8.0203051137363035E-3</v>
      </c>
      <c r="V25">
        <v>4.5491536458333259E-2</v>
      </c>
      <c r="W25">
        <v>3.8505775866379821E-2</v>
      </c>
      <c r="X25">
        <v>4.6188440221694327E-2</v>
      </c>
      <c r="Y25">
        <v>1.2626551741057535E-2</v>
      </c>
      <c r="Z25">
        <v>6.4457216522533223E-3</v>
      </c>
      <c r="AA25">
        <v>3.7431991294887279E-3</v>
      </c>
      <c r="AB25">
        <v>1.4806575371663078E-2</v>
      </c>
      <c r="AC25">
        <v>0.10157384169308292</v>
      </c>
      <c r="AD25">
        <v>0.15186812590000001</v>
      </c>
      <c r="AE25">
        <v>0.1071823442</v>
      </c>
      <c r="AF25">
        <v>5.7388169745222761E-2</v>
      </c>
      <c r="AG25">
        <v>5.41347409934676E-2</v>
      </c>
      <c r="AH25">
        <v>0.23638750577500003</v>
      </c>
      <c r="AI25">
        <v>0.18628128071799999</v>
      </c>
    </row>
    <row r="26" spans="1:35" x14ac:dyDescent="0.2">
      <c r="A26">
        <v>732402</v>
      </c>
      <c r="B26" s="2">
        <f t="shared" si="8"/>
        <v>38442</v>
      </c>
      <c r="C26">
        <v>-2.203198284234964E-2</v>
      </c>
      <c r="D26">
        <v>-4.1765501986408271E-3</v>
      </c>
      <c r="E26">
        <v>-1.1191856052902557E-2</v>
      </c>
      <c r="F26">
        <v>-4.3189007470552099E-3</v>
      </c>
      <c r="G26">
        <v>7.8000000000000005E-3</v>
      </c>
      <c r="I26">
        <v>-4.7009852800133117E-2</v>
      </c>
      <c r="J26">
        <v>-1.5473725140620002E-2</v>
      </c>
      <c r="K26">
        <v>-2.8949844663937727E-2</v>
      </c>
      <c r="L26">
        <v>-1.6786639498765851E-2</v>
      </c>
      <c r="M26">
        <v>7.8000000000000005E-3</v>
      </c>
      <c r="P26">
        <v>732402</v>
      </c>
      <c r="Q26" s="2">
        <v>38442</v>
      </c>
      <c r="R26" s="4">
        <v>3.1200000000000002E-2</v>
      </c>
      <c r="S26">
        <v>-4.1765501986408271E-3</v>
      </c>
      <c r="T26">
        <v>-3.3052906098398616E-3</v>
      </c>
      <c r="U26">
        <v>-1.2339806044857571E-2</v>
      </c>
      <c r="V26">
        <v>-1.6034871954541896E-2</v>
      </c>
      <c r="W26">
        <v>-5.6339384600567755E-3</v>
      </c>
      <c r="X26">
        <v>-1.0758807752153987E-2</v>
      </c>
      <c r="Y26">
        <v>-1.1952255584449789E-3</v>
      </c>
      <c r="Z26">
        <v>-8.3791428723914985E-3</v>
      </c>
      <c r="AA26">
        <v>-3.3823338103291523E-3</v>
      </c>
      <c r="AB26">
        <v>1.3008749072913384E-2</v>
      </c>
      <c r="AC26">
        <v>-2.203198284234964E-2</v>
      </c>
      <c r="AD26">
        <v>1.3131956E-2</v>
      </c>
      <c r="AE26">
        <v>2.6490899599999999E-2</v>
      </c>
      <c r="AF26">
        <v>1.0708929770591125E-2</v>
      </c>
      <c r="AG26">
        <v>1.6998399432319622E-2</v>
      </c>
      <c r="AH26">
        <v>-5.7082023134000015E-2</v>
      </c>
      <c r="AI26">
        <v>-6.9752580562999988E-2</v>
      </c>
    </row>
    <row r="27" spans="1:35" x14ac:dyDescent="0.2">
      <c r="A27">
        <v>732493</v>
      </c>
      <c r="B27" s="2">
        <f t="shared" si="8"/>
        <v>38533</v>
      </c>
      <c r="C27">
        <v>2.2432335643268075E-2</v>
      </c>
      <c r="D27">
        <v>3.6321788689171353E-2</v>
      </c>
      <c r="E27">
        <v>4.4775124561317992E-2</v>
      </c>
      <c r="F27">
        <v>2.4923453519403321E-2</v>
      </c>
      <c r="G27">
        <v>8.7906249999999998E-3</v>
      </c>
      <c r="I27">
        <v>-3.5361593145153969E-3</v>
      </c>
      <c r="J27">
        <v>2.4033988747192179E-2</v>
      </c>
      <c r="K27">
        <v>2.6026510950282827E-2</v>
      </c>
      <c r="L27">
        <v>1.1465089767692681E-2</v>
      </c>
      <c r="M27">
        <v>8.7906249999999998E-3</v>
      </c>
      <c r="P27">
        <v>732493</v>
      </c>
      <c r="Q27" s="2">
        <v>38533</v>
      </c>
      <c r="R27" s="4">
        <v>3.5162499999999999E-2</v>
      </c>
      <c r="S27">
        <v>3.6321788689171353E-2</v>
      </c>
      <c r="T27">
        <v>3.0470339410921143E-2</v>
      </c>
      <c r="U27">
        <v>2.7454659927053093E-2</v>
      </c>
      <c r="V27">
        <v>2.5947314294755275E-2</v>
      </c>
      <c r="W27">
        <v>6.581113801452787E-2</v>
      </c>
      <c r="X27">
        <v>5.9887386008935728E-2</v>
      </c>
      <c r="Y27">
        <v>2.2728375297142778E-2</v>
      </c>
      <c r="Z27">
        <v>3.2723358449946005E-2</v>
      </c>
      <c r="AA27">
        <v>1.9318626811121176E-2</v>
      </c>
      <c r="AB27">
        <v>5.8247646445208634E-3</v>
      </c>
      <c r="AC27">
        <v>2.2432335643268075E-2</v>
      </c>
      <c r="AD27">
        <v>9.1167509999999993E-2</v>
      </c>
      <c r="AE27">
        <v>4.5702741999999998E-2</v>
      </c>
      <c r="AF27">
        <v>1.5518969204717736E-2</v>
      </c>
      <c r="AG27">
        <v>9.9243756581519627E-3</v>
      </c>
      <c r="AH27">
        <v>7.7078170328999968E-2</v>
      </c>
      <c r="AI27">
        <v>2.709735149299998E-2</v>
      </c>
    </row>
    <row r="28" spans="1:35" x14ac:dyDescent="0.2">
      <c r="A28">
        <v>732585</v>
      </c>
      <c r="B28" s="2">
        <f t="shared" si="8"/>
        <v>38625</v>
      </c>
      <c r="C28">
        <v>4.0124939065123488E-2</v>
      </c>
      <c r="D28">
        <v>-1.1189373268185254E-2</v>
      </c>
      <c r="E28">
        <v>1.2824647992779464E-2</v>
      </c>
      <c r="F28">
        <v>-4.2312467854728197E-3</v>
      </c>
      <c r="G28">
        <v>1.0162500000000001E-2</v>
      </c>
      <c r="I28">
        <v>1.2784569107340014E-2</v>
      </c>
      <c r="J28">
        <v>-2.484904821016443E-2</v>
      </c>
      <c r="K28">
        <v>-7.2958406182557049E-3</v>
      </c>
      <c r="L28">
        <v>-1.906148553718346E-2</v>
      </c>
      <c r="M28">
        <v>1.0162500000000001E-2</v>
      </c>
      <c r="P28">
        <v>732585</v>
      </c>
      <c r="Q28" s="2">
        <v>38625</v>
      </c>
      <c r="R28" s="4">
        <v>4.0650000000000006E-2</v>
      </c>
      <c r="S28">
        <v>-1.1189373268185254E-2</v>
      </c>
      <c r="T28">
        <v>1.9651856913061039E-4</v>
      </c>
      <c r="U28">
        <v>-5.4498305656464074E-3</v>
      </c>
      <c r="V28">
        <v>9.8696892590022234E-3</v>
      </c>
      <c r="W28">
        <v>1.13135535462765E-2</v>
      </c>
      <c r="X28">
        <v>3.5565179731485541E-2</v>
      </c>
      <c r="Y28">
        <v>-1.4783894251675367E-3</v>
      </c>
      <c r="Z28">
        <v>-1.0318949343339545E-2</v>
      </c>
      <c r="AA28">
        <v>-8.9640158791137736E-4</v>
      </c>
      <c r="AB28">
        <v>1.8899768101004799E-2</v>
      </c>
      <c r="AC28">
        <v>4.0124939065123488E-2</v>
      </c>
      <c r="AD28">
        <v>7.6218112700000007E-2</v>
      </c>
      <c r="AE28">
        <v>5.4561193199999997E-2</v>
      </c>
      <c r="AF28">
        <v>5.0647150855325229E-2</v>
      </c>
      <c r="AG28">
        <v>6.3949443615144319E-2</v>
      </c>
      <c r="AH28">
        <v>0.12694645282299999</v>
      </c>
      <c r="AI28">
        <v>0.10600775386699998</v>
      </c>
    </row>
    <row r="29" spans="1:35" x14ac:dyDescent="0.2">
      <c r="A29">
        <v>732676</v>
      </c>
      <c r="B29" s="2">
        <f t="shared" si="8"/>
        <v>38716</v>
      </c>
      <c r="C29">
        <v>2.0357788833072599E-2</v>
      </c>
      <c r="D29">
        <v>7.3229514275119367E-3</v>
      </c>
      <c r="E29">
        <v>8.091022332256087E-3</v>
      </c>
      <c r="F29">
        <v>5.5021863905628061E-3</v>
      </c>
      <c r="G29">
        <v>1.1340625E-2</v>
      </c>
      <c r="I29">
        <v>-8.1607061247108738E-3</v>
      </c>
      <c r="J29">
        <v>-7.5148485144672364E-3</v>
      </c>
      <c r="K29">
        <v>-1.3207591278779081E-2</v>
      </c>
      <c r="L29">
        <v>-1.0506177361147834E-2</v>
      </c>
      <c r="M29">
        <v>1.1340625E-2</v>
      </c>
      <c r="P29">
        <v>732676</v>
      </c>
      <c r="Q29" s="2">
        <v>38716</v>
      </c>
      <c r="R29" s="4">
        <v>4.53625E-2</v>
      </c>
      <c r="S29">
        <v>7.3229514275119367E-3</v>
      </c>
      <c r="T29">
        <v>1.0969684802248914E-3</v>
      </c>
      <c r="U29">
        <v>3.5490987779532857E-3</v>
      </c>
      <c r="V29">
        <v>7.9407497900281232E-3</v>
      </c>
      <c r="W29">
        <v>5.4811753077546044E-3</v>
      </c>
      <c r="X29">
        <v>1.5393065453288335E-2</v>
      </c>
      <c r="Y29">
        <v>6.0094060268245375E-3</v>
      </c>
      <c r="Z29">
        <v>4.6866771985254463E-3</v>
      </c>
      <c r="AA29">
        <v>5.8104759463384337E-3</v>
      </c>
      <c r="AB29">
        <v>1.1967832892890051E-2</v>
      </c>
      <c r="AC29">
        <v>2.0357788833072599E-2</v>
      </c>
      <c r="AD29">
        <v>7.6218112700000007E-2</v>
      </c>
      <c r="AE29">
        <v>5.4561193199999997E-2</v>
      </c>
      <c r="AF29">
        <v>3.2376193757999605E-2</v>
      </c>
      <c r="AG29">
        <v>4.6689335183189407E-2</v>
      </c>
      <c r="AH29">
        <v>0.12694645282299999</v>
      </c>
      <c r="AI29">
        <v>0.10600775386699998</v>
      </c>
    </row>
    <row r="30" spans="1:35" x14ac:dyDescent="0.2">
      <c r="A30">
        <v>732767</v>
      </c>
      <c r="B30" s="2">
        <f t="shared" si="8"/>
        <v>38807</v>
      </c>
      <c r="C30">
        <v>5.3141937525305272E-2</v>
      </c>
      <c r="D30">
        <v>-1.2302595720282361E-2</v>
      </c>
      <c r="E30">
        <v>5.5426373870973017E-3</v>
      </c>
      <c r="F30">
        <v>-8.6741015667705457E-4</v>
      </c>
      <c r="G30">
        <v>1.2500000000000001E-2</v>
      </c>
      <c r="I30">
        <v>2.3464067567521802E-2</v>
      </c>
      <c r="J30">
        <v>-2.8299770662261536E-2</v>
      </c>
      <c r="K30">
        <v>-1.6915351223937867E-2</v>
      </c>
      <c r="L30">
        <v>-1.8035148908387696E-2</v>
      </c>
      <c r="M30">
        <v>1.2500000000000001E-2</v>
      </c>
      <c r="P30">
        <v>732767</v>
      </c>
      <c r="Q30" s="2">
        <v>38807</v>
      </c>
      <c r="R30" s="4">
        <v>0.05</v>
      </c>
      <c r="S30">
        <v>-1.2302595720282361E-2</v>
      </c>
      <c r="T30">
        <v>-2.2499844913483114E-2</v>
      </c>
      <c r="U30">
        <v>-5.3194895419099164E-3</v>
      </c>
      <c r="V30">
        <v>2.6020756003333201E-2</v>
      </c>
      <c r="W30">
        <v>-1.5862377122430771E-2</v>
      </c>
      <c r="X30">
        <v>1.7331660209396693E-2</v>
      </c>
      <c r="Y30">
        <v>-6.5322955116042802E-4</v>
      </c>
      <c r="Z30">
        <v>-4.455160123696178E-3</v>
      </c>
      <c r="AA30">
        <v>2.5061592048254422E-3</v>
      </c>
      <c r="AB30">
        <v>1.9610538087175833E-2</v>
      </c>
      <c r="AC30">
        <v>5.3141937525305272E-2</v>
      </c>
      <c r="AD30">
        <v>5.6083295999999998E-2</v>
      </c>
      <c r="AE30">
        <v>1.6158764199999998E-2</v>
      </c>
      <c r="AF30">
        <v>6.0293185718461428E-2</v>
      </c>
      <c r="AG30">
        <v>9.4811385852603736E-2</v>
      </c>
      <c r="AH30">
        <v>2.4629669140999982E-2</v>
      </c>
      <c r="AI30">
        <v>-5.9003753374000004E-2</v>
      </c>
    </row>
    <row r="31" spans="1:35" x14ac:dyDescent="0.2">
      <c r="A31">
        <v>732858</v>
      </c>
      <c r="B31" s="2">
        <f t="shared" si="8"/>
        <v>38898</v>
      </c>
      <c r="C31">
        <v>-1.9784835072529372E-2</v>
      </c>
      <c r="D31">
        <v>-6.1634165394564011E-4</v>
      </c>
      <c r="E31">
        <v>-8.735260355865776E-3</v>
      </c>
      <c r="F31">
        <v>1.5152901085104069E-3</v>
      </c>
      <c r="G31">
        <v>1.3701574999999999E-2</v>
      </c>
      <c r="I31">
        <v>-5.0664280030312842E-2</v>
      </c>
      <c r="J31">
        <v>-1.7815091595924811E-2</v>
      </c>
      <c r="K31">
        <v>-3.2394823966900944E-2</v>
      </c>
      <c r="L31">
        <v>-1.6854023643200232E-2</v>
      </c>
      <c r="M31">
        <v>1.3701574999999999E-2</v>
      </c>
      <c r="P31">
        <v>732858</v>
      </c>
      <c r="Q31" s="2">
        <v>38898</v>
      </c>
      <c r="R31" s="4">
        <v>5.4806299999999995E-2</v>
      </c>
      <c r="S31">
        <v>-6.1634165394564011E-4</v>
      </c>
      <c r="T31">
        <v>4.9342096264959334E-3</v>
      </c>
      <c r="U31">
        <v>2.4580776392812975E-4</v>
      </c>
      <c r="V31">
        <v>-7.0139170881167168E-4</v>
      </c>
      <c r="W31">
        <v>-1.2258796821793316E-2</v>
      </c>
      <c r="X31">
        <v>-2.2226660656786246E-2</v>
      </c>
      <c r="Y31">
        <v>8.6629179858022098E-5</v>
      </c>
      <c r="Z31">
        <v>5.2648204696081891E-5</v>
      </c>
      <c r="AA31">
        <v>4.4065929409771165E-3</v>
      </c>
      <c r="AB31">
        <v>1.0226339717902544E-2</v>
      </c>
      <c r="AC31">
        <v>-1.9784835072529372E-2</v>
      </c>
      <c r="AD31">
        <v>4.1191820699999999E-2</v>
      </c>
      <c r="AE31">
        <v>4.0335568299999999E-2</v>
      </c>
      <c r="AF31">
        <v>5.7105234991325915E-3</v>
      </c>
      <c r="AG31">
        <v>1.6674988839071259E-2</v>
      </c>
      <c r="AH31">
        <v>3.2966109011999992E-2</v>
      </c>
      <c r="AI31">
        <v>5.0356303208999989E-2</v>
      </c>
    </row>
    <row r="32" spans="1:35" x14ac:dyDescent="0.2">
      <c r="A32">
        <v>732949</v>
      </c>
      <c r="B32" s="2">
        <f t="shared" si="8"/>
        <v>38989</v>
      </c>
      <c r="C32">
        <v>4.6416353005543698E-2</v>
      </c>
      <c r="D32">
        <v>3.6780999232683298E-2</v>
      </c>
      <c r="E32">
        <v>4.9237890823616987E-2</v>
      </c>
      <c r="F32">
        <v>3.543914017267058E-2</v>
      </c>
      <c r="G32">
        <v>1.3424999999999999E-2</v>
      </c>
      <c r="I32">
        <v>1.5813483047760226E-2</v>
      </c>
      <c r="J32">
        <v>1.9858824290704125E-2</v>
      </c>
      <c r="K32">
        <v>2.5854902212581819E-2</v>
      </c>
      <c r="L32">
        <v>1.7346401420959941E-2</v>
      </c>
      <c r="M32">
        <v>1.3424999999999999E-2</v>
      </c>
      <c r="P32">
        <v>732949</v>
      </c>
      <c r="Q32" s="2">
        <v>38989</v>
      </c>
      <c r="R32" s="4">
        <v>5.3699999999999998E-2</v>
      </c>
      <c r="S32">
        <v>3.6780999232683298E-2</v>
      </c>
      <c r="T32">
        <v>3.559097813127754E-2</v>
      </c>
      <c r="U32">
        <v>3.7489176177596728E-2</v>
      </c>
      <c r="V32">
        <v>3.7643147395640897E-2</v>
      </c>
      <c r="W32">
        <v>5.7871753619857413E-2</v>
      </c>
      <c r="X32">
        <v>6.3947486101372908E-2</v>
      </c>
      <c r="Y32">
        <v>3.6262983408011706E-2</v>
      </c>
      <c r="Z32">
        <v>4.153724664385372E-2</v>
      </c>
      <c r="AA32">
        <v>2.8517190466146314E-2</v>
      </c>
      <c r="AB32">
        <v>1.7097801364670318E-2</v>
      </c>
      <c r="AC32">
        <v>4.6416353005543698E-2</v>
      </c>
      <c r="AD32">
        <v>4.1191820699999999E-2</v>
      </c>
      <c r="AE32">
        <v>4.0335568299999999E-2</v>
      </c>
      <c r="AF32">
        <v>1.1999667309391393E-2</v>
      </c>
      <c r="AG32">
        <v>-9.7596475897642199E-3</v>
      </c>
      <c r="AH32">
        <v>3.2966109011999992E-2</v>
      </c>
      <c r="AI32">
        <v>5.0356303208999989E-2</v>
      </c>
    </row>
    <row r="33" spans="1:35" x14ac:dyDescent="0.2">
      <c r="A33">
        <v>733040</v>
      </c>
      <c r="B33" s="2">
        <f t="shared" si="8"/>
        <v>39080</v>
      </c>
      <c r="C33">
        <v>7.1215065718812198E-2</v>
      </c>
      <c r="D33">
        <v>7.2280323151836523E-3</v>
      </c>
      <c r="E33">
        <v>2.8990818027267468E-2</v>
      </c>
      <c r="F33">
        <v>1.2888145989866354E-2</v>
      </c>
      <c r="G33">
        <v>1.34E-2</v>
      </c>
      <c r="I33">
        <v>4.0637195761028727E-2</v>
      </c>
      <c r="J33">
        <v>-9.6691426267955204E-3</v>
      </c>
      <c r="K33">
        <v>5.6328294162322993E-3</v>
      </c>
      <c r="L33">
        <v>-5.1795927618442867E-3</v>
      </c>
      <c r="M33">
        <v>1.34E-2</v>
      </c>
      <c r="P33">
        <v>733040</v>
      </c>
      <c r="Q33" s="2">
        <v>39080</v>
      </c>
      <c r="R33" s="4">
        <v>5.3600000000000002E-2</v>
      </c>
      <c r="S33">
        <v>7.2280323151836523E-3</v>
      </c>
      <c r="T33">
        <v>-1.2936812588908109E-2</v>
      </c>
      <c r="U33">
        <v>1.3011259664654884E-2</v>
      </c>
      <c r="V33">
        <v>4.1048097119869009E-2</v>
      </c>
      <c r="W33">
        <v>2.3811592943425719E-2</v>
      </c>
      <c r="X33">
        <v>3.8092322381120258E-2</v>
      </c>
      <c r="Y33">
        <v>1.5996170038147683E-2</v>
      </c>
      <c r="Z33">
        <v>1.1676101900525593E-2</v>
      </c>
      <c r="AA33">
        <v>1.0992166030925787E-2</v>
      </c>
      <c r="AB33">
        <v>1.8831920044843464E-2</v>
      </c>
      <c r="AC33">
        <v>7.1215065718812198E-2</v>
      </c>
      <c r="AD33">
        <v>3.79043903E-2</v>
      </c>
      <c r="AE33">
        <v>1.6947962600000002E-2</v>
      </c>
      <c r="AF33">
        <v>6.0361964998296713E-2</v>
      </c>
      <c r="AG33">
        <v>6.7641759226809484E-2</v>
      </c>
      <c r="AH33">
        <v>4.2930554800000006E-2</v>
      </c>
      <c r="AI33">
        <v>-3.5583418939999917E-3</v>
      </c>
    </row>
    <row r="34" spans="1:35" x14ac:dyDescent="0.2">
      <c r="A34">
        <v>733131</v>
      </c>
      <c r="B34" s="2">
        <f t="shared" si="8"/>
        <v>39171</v>
      </c>
      <c r="C34">
        <v>1.2752169221315057E-2</v>
      </c>
      <c r="D34">
        <v>1.4469066961495969E-2</v>
      </c>
      <c r="E34">
        <v>2.1874667557142541E-2</v>
      </c>
      <c r="F34">
        <v>1.460408585077492E-2</v>
      </c>
      <c r="G34">
        <v>1.3375E-2</v>
      </c>
      <c r="I34">
        <v>-1.7800700736468417E-2</v>
      </c>
      <c r="J34">
        <v>-2.403107980483204E-3</v>
      </c>
      <c r="K34">
        <v>-1.4583210538926267E-3</v>
      </c>
      <c r="L34">
        <v>-3.4386529009357196E-3</v>
      </c>
      <c r="M34">
        <v>1.3375E-2</v>
      </c>
      <c r="P34">
        <v>733131</v>
      </c>
      <c r="Q34" s="2">
        <v>39171</v>
      </c>
      <c r="R34" s="4">
        <v>5.3499999999999999E-2</v>
      </c>
      <c r="S34">
        <v>1.4469066961495969E-2</v>
      </c>
      <c r="T34">
        <v>2.5092709613200093E-2</v>
      </c>
      <c r="U34">
        <v>1.6927422466381903E-2</v>
      </c>
      <c r="V34">
        <v>2.7973462827439954E-2</v>
      </c>
      <c r="W34">
        <v>1.8249724132076928E-2</v>
      </c>
      <c r="X34">
        <v>2.4348060802671379E-2</v>
      </c>
      <c r="Y34">
        <v>1.5654567349045356E-2</v>
      </c>
      <c r="Z34">
        <v>1.4039470397202214E-2</v>
      </c>
      <c r="AA34">
        <v>1.4118219806077192E-2</v>
      </c>
      <c r="AB34">
        <v>2.0052443050125213E-2</v>
      </c>
      <c r="AC34">
        <v>1.2752169221315057E-2</v>
      </c>
      <c r="AD34">
        <v>0.12719791790000001</v>
      </c>
      <c r="AE34">
        <v>0.2202179588</v>
      </c>
      <c r="AF34">
        <v>2.8130371642105079E-2</v>
      </c>
      <c r="AG34">
        <v>2.2352844260265847E-2</v>
      </c>
      <c r="AH34">
        <v>0.184923785087</v>
      </c>
      <c r="AI34">
        <v>0.51444322994699998</v>
      </c>
    </row>
    <row r="35" spans="1:35" x14ac:dyDescent="0.2">
      <c r="A35">
        <v>733222</v>
      </c>
      <c r="B35" s="2">
        <f t="shared" si="8"/>
        <v>39262</v>
      </c>
      <c r="C35">
        <v>5.7656574806350003E-2</v>
      </c>
      <c r="D35">
        <v>-4.3052095743527641E-3</v>
      </c>
      <c r="E35">
        <v>-7.0184045225476777E-3</v>
      </c>
      <c r="F35">
        <v>-4.6910298462822242E-3</v>
      </c>
      <c r="G35">
        <v>1.34E-2</v>
      </c>
      <c r="I35">
        <v>2.7078704848566528E-2</v>
      </c>
      <c r="J35">
        <v>-2.120238451633194E-2</v>
      </c>
      <c r="K35">
        <v>-3.0376393133582848E-2</v>
      </c>
      <c r="L35">
        <v>-2.2758768597992866E-2</v>
      </c>
      <c r="M35">
        <v>1.34E-2</v>
      </c>
      <c r="P35">
        <v>733222</v>
      </c>
      <c r="Q35" s="2">
        <v>39262</v>
      </c>
      <c r="R35" s="4">
        <v>5.3600000000000002E-2</v>
      </c>
      <c r="S35">
        <v>-4.3052095743527641E-3</v>
      </c>
      <c r="T35">
        <v>-7.5724041331040048E-3</v>
      </c>
      <c r="U35">
        <v>-4.5811735064543724E-3</v>
      </c>
      <c r="V35">
        <v>1.5635395874915581E-3</v>
      </c>
      <c r="W35">
        <v>-9.7115705235077954E-3</v>
      </c>
      <c r="X35">
        <v>-1.5344413647720101E-2</v>
      </c>
      <c r="Y35">
        <v>-5.0371155885472474E-3</v>
      </c>
      <c r="Z35">
        <v>-1.0396137169885744E-2</v>
      </c>
      <c r="AA35">
        <v>1.3601632195863189E-3</v>
      </c>
      <c r="AB35">
        <v>1.4316207438689998E-2</v>
      </c>
      <c r="AC35">
        <v>5.7656574806350003E-2</v>
      </c>
      <c r="AD35">
        <v>5.8874744399999998E-2</v>
      </c>
      <c r="AE35">
        <v>-1.32709786E-2</v>
      </c>
      <c r="AF35">
        <v>5.3101394623430664E-2</v>
      </c>
      <c r="AG35">
        <v>4.5864844926156167E-2</v>
      </c>
      <c r="AH35">
        <v>2.7950778129999992E-2</v>
      </c>
      <c r="AI35">
        <v>-0.30607528454099997</v>
      </c>
    </row>
    <row r="36" spans="1:35" x14ac:dyDescent="0.2">
      <c r="A36">
        <v>733313</v>
      </c>
      <c r="B36" s="2">
        <f t="shared" si="8"/>
        <v>39353</v>
      </c>
      <c r="C36">
        <v>1.548195830302368E-2</v>
      </c>
      <c r="D36">
        <v>3.808500802219017E-2</v>
      </c>
      <c r="E36">
        <v>1.8647516766879146E-2</v>
      </c>
      <c r="F36">
        <v>2.1346103225202324E-2</v>
      </c>
      <c r="G36">
        <v>1.3071875E-2</v>
      </c>
      <c r="I36">
        <v>-1.4767786654759793E-2</v>
      </c>
      <c r="J36">
        <v>2.1515958080210996E-2</v>
      </c>
      <c r="K36">
        <v>-4.3823468441560216E-3</v>
      </c>
      <c r="L36">
        <v>3.6064894734916834E-3</v>
      </c>
      <c r="M36">
        <v>1.3071875E-2</v>
      </c>
      <c r="P36">
        <v>733313</v>
      </c>
      <c r="Q36" s="2">
        <v>39353</v>
      </c>
      <c r="R36" s="4">
        <v>5.2287500000000001E-2</v>
      </c>
      <c r="S36">
        <v>3.808500802219017E-2</v>
      </c>
      <c r="T36">
        <v>4.5382705372329468E-2</v>
      </c>
      <c r="U36">
        <v>1.7801004814616883E-2</v>
      </c>
      <c r="V36">
        <v>4.0189989039092211E-3</v>
      </c>
      <c r="W36">
        <v>2.8999537017551091E-2</v>
      </c>
      <c r="X36">
        <v>2.377052633143939E-2</v>
      </c>
      <c r="Y36">
        <v>2.6445510258459981E-2</v>
      </c>
      <c r="Z36">
        <v>2.3450336071695332E-2</v>
      </c>
      <c r="AA36">
        <v>1.4142463345451661E-2</v>
      </c>
      <c r="AB36">
        <v>-1.2518880145723665E-2</v>
      </c>
      <c r="AC36">
        <v>1.548195830302368E-2</v>
      </c>
      <c r="AD36">
        <v>7.5893091300000007E-2</v>
      </c>
      <c r="AE36">
        <v>6.9334432299999998E-2</v>
      </c>
      <c r="AF36">
        <v>2.2478751295089472E-2</v>
      </c>
      <c r="AG36">
        <v>3.9910183384527897E-2</v>
      </c>
      <c r="AH36">
        <v>4.5691452468000007E-2</v>
      </c>
      <c r="AI36">
        <v>6.8264139458999951E-2</v>
      </c>
    </row>
    <row r="37" spans="1:35" x14ac:dyDescent="0.2">
      <c r="A37">
        <v>733407</v>
      </c>
      <c r="B37" s="2">
        <f t="shared" si="8"/>
        <v>39447</v>
      </c>
      <c r="C37">
        <v>-3.3384243177855599E-2</v>
      </c>
      <c r="D37">
        <v>3.96282761601634E-2</v>
      </c>
      <c r="E37">
        <v>1.7522898474967796E-2</v>
      </c>
      <c r="F37">
        <v>1.3832718595219876E-2</v>
      </c>
      <c r="G37">
        <v>1.1756249999999999E-2</v>
      </c>
      <c r="I37">
        <v>-6.2318363135639071E-2</v>
      </c>
      <c r="J37">
        <v>2.4374851218184227E-2</v>
      </c>
      <c r="K37">
        <v>-4.1913401360673709E-3</v>
      </c>
      <c r="L37">
        <v>-2.5912701564907636E-3</v>
      </c>
      <c r="M37">
        <v>1.1756249999999999E-2</v>
      </c>
      <c r="P37">
        <v>733407</v>
      </c>
      <c r="Q37" s="2">
        <v>39447</v>
      </c>
      <c r="R37" s="4">
        <v>4.7024999999999997E-2</v>
      </c>
      <c r="S37">
        <v>3.96282761601634E-2</v>
      </c>
      <c r="T37">
        <v>4.96883616627255E-2</v>
      </c>
      <c r="U37">
        <v>1.9653686330486253E-2</v>
      </c>
      <c r="V37">
        <v>-1.0685457192007308E-2</v>
      </c>
      <c r="W37">
        <v>3.3090641361256612E-2</v>
      </c>
      <c r="X37">
        <v>2.8032723400135628E-2</v>
      </c>
      <c r="Y37">
        <v>3.0624238359977296E-2</v>
      </c>
      <c r="Z37">
        <v>1.8437439190504001E-2</v>
      </c>
      <c r="AA37">
        <v>-7.5635217648216679E-3</v>
      </c>
      <c r="AB37">
        <v>-9.1659028414292631E-4</v>
      </c>
      <c r="AC37">
        <v>-3.3384243177855599E-2</v>
      </c>
      <c r="AD37">
        <v>3.1844718600000002E-2</v>
      </c>
      <c r="AE37">
        <v>4.6290749300000003E-2</v>
      </c>
      <c r="AF37">
        <v>2.4346910921216658E-2</v>
      </c>
      <c r="AG37">
        <v>4.8904907004607923E-2</v>
      </c>
      <c r="AH37">
        <v>3.4669998281000002E-2</v>
      </c>
      <c r="AI37">
        <v>-9.4719873425000031E-2</v>
      </c>
    </row>
    <row r="38" spans="1:35" x14ac:dyDescent="0.2">
      <c r="A38">
        <v>733498</v>
      </c>
      <c r="B38" s="2">
        <f t="shared" si="8"/>
        <v>39538</v>
      </c>
      <c r="C38">
        <v>-9.5182963491197925E-2</v>
      </c>
      <c r="D38">
        <v>4.4265961132634146E-2</v>
      </c>
      <c r="E38">
        <v>1.6719462757359138E-3</v>
      </c>
      <c r="F38">
        <v>-1.1118602813710762E-2</v>
      </c>
      <c r="G38">
        <v>6.7203250000000001E-3</v>
      </c>
      <c r="I38">
        <v>-0.1190811584489814</v>
      </c>
      <c r="J38">
        <v>3.4048461190654973E-2</v>
      </c>
      <c r="K38">
        <v>-1.5006367335299253E-2</v>
      </c>
      <c r="L38">
        <v>-2.2506666565421402E-2</v>
      </c>
      <c r="M38">
        <v>6.7203250000000001E-3</v>
      </c>
      <c r="P38">
        <v>733498</v>
      </c>
      <c r="Q38" s="2">
        <v>39538</v>
      </c>
      <c r="R38" s="4">
        <v>2.68813E-2</v>
      </c>
      <c r="S38">
        <v>4.4265961132634146E-2</v>
      </c>
      <c r="T38">
        <v>5.1763595690446085E-2</v>
      </c>
      <c r="U38">
        <v>7.4213506811861008E-3</v>
      </c>
      <c r="V38">
        <v>-2.9727470322688521E-2</v>
      </c>
      <c r="W38">
        <v>2.2924337807340711E-2</v>
      </c>
      <c r="X38">
        <v>6.069566937105364E-3</v>
      </c>
      <c r="Y38">
        <v>2.4347923429978602E-2</v>
      </c>
      <c r="Z38">
        <v>-3.8452352519703803E-2</v>
      </c>
      <c r="AA38">
        <v>-1.9251379351407083E-2</v>
      </c>
      <c r="AB38">
        <v>-5.7419724770642278E-2</v>
      </c>
      <c r="AC38">
        <v>-9.5182963491197925E-2</v>
      </c>
      <c r="AD38">
        <v>-2.2057248000000002E-2</v>
      </c>
      <c r="AE38">
        <v>-1.4751561000000001E-3</v>
      </c>
      <c r="AF38">
        <v>-1.2102754354066492E-2</v>
      </c>
      <c r="AG38">
        <v>3.8764700433170485E-2</v>
      </c>
      <c r="AH38">
        <v>-4.6091691843999999E-2</v>
      </c>
      <c r="AI38">
        <v>3.6506656176999983E-2</v>
      </c>
    </row>
    <row r="39" spans="1:35" x14ac:dyDescent="0.2">
      <c r="A39">
        <v>733589</v>
      </c>
      <c r="B39" s="2">
        <f t="shared" si="8"/>
        <v>39629</v>
      </c>
      <c r="C39">
        <v>-1.6903158408772545E-2</v>
      </c>
      <c r="D39">
        <v>-2.1028883044181268E-2</v>
      </c>
      <c r="E39">
        <v>-2.3863391324394634E-3</v>
      </c>
      <c r="F39">
        <v>-1.5782138598397315E-3</v>
      </c>
      <c r="G39">
        <v>6.9578249999999999E-3</v>
      </c>
      <c r="I39">
        <v>-4.1038853366556022E-2</v>
      </c>
      <c r="J39">
        <v>-3.1483882986160443E-2</v>
      </c>
      <c r="K39">
        <v>-1.9302152743474632E-2</v>
      </c>
      <c r="L39">
        <v>-1.3203777611550373E-2</v>
      </c>
      <c r="M39">
        <v>6.9578249999999999E-3</v>
      </c>
      <c r="P39">
        <v>733589</v>
      </c>
      <c r="Q39" s="2">
        <v>39629</v>
      </c>
      <c r="R39" s="4">
        <v>2.78313E-2</v>
      </c>
      <c r="S39">
        <v>-2.1028883044181268E-2</v>
      </c>
      <c r="T39">
        <v>-2.8163992546453853E-3</v>
      </c>
      <c r="U39">
        <v>-8.3968360112584017E-3</v>
      </c>
      <c r="V39">
        <v>1.9506479183898362E-2</v>
      </c>
      <c r="W39">
        <v>-1.1495587552252773E-2</v>
      </c>
      <c r="X39">
        <v>-9.159412150145041E-3</v>
      </c>
      <c r="Y39">
        <v>-4.9177640566088199E-3</v>
      </c>
      <c r="Z39">
        <v>8.1967213114753079E-3</v>
      </c>
      <c r="AA39">
        <v>-8.0135988343856823E-3</v>
      </c>
      <c r="AB39">
        <v>4.9408100446510117E-2</v>
      </c>
      <c r="AC39">
        <v>-1.6903158408772545E-2</v>
      </c>
      <c r="AD39">
        <v>8.2071430000000001E-3</v>
      </c>
      <c r="AE39">
        <v>-8.6191489999999996E-4</v>
      </c>
      <c r="AF39">
        <v>2.584744690949492E-2</v>
      </c>
      <c r="AG39">
        <v>4.9478473345381468E-2</v>
      </c>
      <c r="AH39">
        <v>1.0420893013000001E-2</v>
      </c>
      <c r="AI39">
        <v>-2.3471365858999997E-2</v>
      </c>
    </row>
    <row r="40" spans="1:35" x14ac:dyDescent="0.2">
      <c r="A40">
        <v>733681</v>
      </c>
      <c r="B40" s="2">
        <f t="shared" si="8"/>
        <v>39721</v>
      </c>
      <c r="C40">
        <v>-8.7289361167002033E-2</v>
      </c>
      <c r="D40">
        <v>2.2996438386552187E-2</v>
      </c>
      <c r="E40">
        <v>-6.255142595448393E-2</v>
      </c>
      <c r="F40" s="1">
        <v>-2.6893092638129112E-2</v>
      </c>
      <c r="G40">
        <v>1.0131250000000001E-2</v>
      </c>
      <c r="I40">
        <v>-0.11459848112478552</v>
      </c>
      <c r="J40">
        <v>9.3680134445730118E-3</v>
      </c>
      <c r="K40">
        <v>-8.2640664565519106E-2</v>
      </c>
      <c r="L40">
        <v>-4.1692081389839757E-2</v>
      </c>
      <c r="M40">
        <v>1.0131250000000001E-2</v>
      </c>
      <c r="P40">
        <v>733681</v>
      </c>
      <c r="Q40" s="2">
        <v>39721</v>
      </c>
      <c r="R40" s="4">
        <v>4.0525000000000005E-2</v>
      </c>
      <c r="S40">
        <v>2.2996438386552187E-2</v>
      </c>
      <c r="T40">
        <v>-3.5362874190483118E-2</v>
      </c>
      <c r="U40">
        <v>-7.154728142991873E-2</v>
      </c>
      <c r="V40">
        <v>-8.555878574809006E-2</v>
      </c>
      <c r="W40">
        <v>-4.2953913622303164E-2</v>
      </c>
      <c r="X40">
        <v>-5.0145723017623767E-2</v>
      </c>
      <c r="Y40">
        <v>1.8704354511009935E-2</v>
      </c>
      <c r="Z40">
        <v>-6.2133530426213279E-2</v>
      </c>
      <c r="AA40">
        <v>-3.7250101999183993E-2</v>
      </c>
      <c r="AB40">
        <v>-6.988081712152483E-2</v>
      </c>
      <c r="AC40">
        <v>-8.7289361167002033E-2</v>
      </c>
      <c r="AD40">
        <v>-6.6844949900000006E-2</v>
      </c>
      <c r="AE40">
        <v>-6.1261079099999997E-2</v>
      </c>
      <c r="AF40">
        <v>-6.8502424112110716E-2</v>
      </c>
      <c r="AG40">
        <v>-8.2133923917080631E-2</v>
      </c>
      <c r="AH40">
        <v>-9.8458116159000006E-2</v>
      </c>
      <c r="AI40">
        <v>-0.18800087537099999</v>
      </c>
    </row>
    <row r="41" spans="1:35" x14ac:dyDescent="0.2">
      <c r="A41">
        <v>733773</v>
      </c>
      <c r="B41" s="2">
        <f t="shared" si="8"/>
        <v>39813</v>
      </c>
      <c r="C41">
        <v>-0.22780428155624055</v>
      </c>
      <c r="D41">
        <v>8.7544724066065172E-2</v>
      </c>
      <c r="E41">
        <v>-5.9251314463461435E-2</v>
      </c>
      <c r="F41">
        <v>-5.8242576294723104E-2</v>
      </c>
      <c r="G41">
        <v>3.5625000000000001E-3</v>
      </c>
      <c r="I41">
        <v>-0.24854465151402402</v>
      </c>
      <c r="J41">
        <v>8.0485049124086008E-2</v>
      </c>
      <c r="K41">
        <v>-7.2771803074496599E-2</v>
      </c>
      <c r="L41">
        <v>-6.647281504643375E-2</v>
      </c>
      <c r="M41">
        <v>3.5625000000000001E-3</v>
      </c>
      <c r="P41">
        <v>733773</v>
      </c>
      <c r="Q41" s="2">
        <v>39813</v>
      </c>
      <c r="R41" s="4">
        <v>1.4250000000000001E-2</v>
      </c>
      <c r="S41">
        <v>8.7544724066065172E-2</v>
      </c>
      <c r="T41">
        <v>-3.4823010810897337E-2</v>
      </c>
      <c r="U41">
        <v>2.5003755124637594E-2</v>
      </c>
      <c r="V41">
        <v>-0.18062178847362387</v>
      </c>
      <c r="W41">
        <v>-1.043286146796496E-2</v>
      </c>
      <c r="X41">
        <v>-7.0954363036894508E-2</v>
      </c>
      <c r="Y41">
        <v>4.3358735420751415E-2</v>
      </c>
      <c r="Z41">
        <v>-0.1499422086792056</v>
      </c>
      <c r="AA41">
        <v>-6.8144255625715133E-2</v>
      </c>
      <c r="AB41">
        <v>-0.22936934803338049</v>
      </c>
      <c r="AC41">
        <v>-0.22780428155624055</v>
      </c>
      <c r="AD41">
        <v>-0.16072617750000001</v>
      </c>
      <c r="AE41">
        <v>-0.20616047830000001</v>
      </c>
      <c r="AF41">
        <v>-4.535240072666602E-2</v>
      </c>
      <c r="AG41">
        <v>-2.3369055453281662E-2</v>
      </c>
      <c r="AH41">
        <v>-0.24691192903800002</v>
      </c>
      <c r="AI41">
        <v>-0.38567900170799996</v>
      </c>
    </row>
    <row r="42" spans="1:35" x14ac:dyDescent="0.2">
      <c r="A42">
        <v>733863</v>
      </c>
      <c r="B42" s="2">
        <f t="shared" si="8"/>
        <v>39903</v>
      </c>
      <c r="C42">
        <v>-0.10804710500490688</v>
      </c>
      <c r="D42">
        <v>-1.3226106606406995E-2</v>
      </c>
      <c r="E42">
        <v>2.8910008821036906E-2</v>
      </c>
      <c r="F42">
        <v>2.7731704798213481E-2</v>
      </c>
      <c r="G42">
        <v>2.9797000000000001E-3</v>
      </c>
      <c r="I42">
        <v>-0.12820467496269036</v>
      </c>
      <c r="J42">
        <v>-1.9702981548386171E-2</v>
      </c>
      <c r="K42">
        <v>1.5972320210001736E-2</v>
      </c>
      <c r="L42">
        <v>2.0084266046502843E-2</v>
      </c>
      <c r="M42">
        <v>2.9797000000000001E-3</v>
      </c>
      <c r="P42">
        <v>733863</v>
      </c>
      <c r="Q42" s="2">
        <v>39903</v>
      </c>
      <c r="R42" s="4">
        <v>1.19188E-2</v>
      </c>
      <c r="S42">
        <v>-1.3226106606406995E-2</v>
      </c>
      <c r="T42">
        <v>5.5159515553859562E-2</v>
      </c>
      <c r="U42">
        <v>-1.6566055398829493E-3</v>
      </c>
      <c r="V42">
        <v>6.6140311301601695E-2</v>
      </c>
      <c r="W42">
        <v>1.2734113366684507E-2</v>
      </c>
      <c r="X42">
        <v>3.8422216155744371E-2</v>
      </c>
      <c r="Y42">
        <v>2.1950557966522011E-2</v>
      </c>
      <c r="Z42">
        <v>-1.4338689740420407E-2</v>
      </c>
      <c r="AA42">
        <v>7.5583246168538842E-2</v>
      </c>
      <c r="AB42">
        <v>9.8002426202992377E-2</v>
      </c>
      <c r="AC42">
        <v>-0.10804710500490688</v>
      </c>
      <c r="AD42">
        <v>-3.3076190700000001E-2</v>
      </c>
      <c r="AE42">
        <v>-6.3448273400000005E-2</v>
      </c>
      <c r="AF42">
        <v>1.1591109907795438E-2</v>
      </c>
      <c r="AG42">
        <v>2.2465575223814205E-2</v>
      </c>
      <c r="AH42">
        <v>5.0689185750000004E-2</v>
      </c>
      <c r="AI42">
        <v>0.14398104187300001</v>
      </c>
    </row>
    <row r="43" spans="1:35" x14ac:dyDescent="0.2">
      <c r="A43">
        <v>733954</v>
      </c>
      <c r="B43" s="2">
        <f t="shared" si="8"/>
        <v>39994</v>
      </c>
      <c r="C43">
        <v>0.16817031576631103</v>
      </c>
      <c r="D43">
        <v>-3.0208122853101704E-2</v>
      </c>
      <c r="E43">
        <v>0.12782132863817147</v>
      </c>
      <c r="F43">
        <v>6.7956516978491185E-2</v>
      </c>
      <c r="G43">
        <v>1.4874999999999999E-3</v>
      </c>
      <c r="I43">
        <v>0.14950494580852755</v>
      </c>
      <c r="J43">
        <v>-3.5192797795080881E-2</v>
      </c>
      <c r="K43">
        <v>0.1163758400271363</v>
      </c>
      <c r="L43">
        <v>6.180127822678054E-2</v>
      </c>
      <c r="M43">
        <v>1.4874999999999999E-3</v>
      </c>
      <c r="P43">
        <v>733954</v>
      </c>
      <c r="Q43" s="2">
        <v>39994</v>
      </c>
      <c r="R43" s="4">
        <v>5.9499999999999996E-3</v>
      </c>
      <c r="S43">
        <v>-3.0208122853101704E-2</v>
      </c>
      <c r="T43">
        <v>6.5671431700182747E-3</v>
      </c>
      <c r="U43">
        <v>9.2505337292545065E-2</v>
      </c>
      <c r="V43">
        <v>0.22800558588295039</v>
      </c>
      <c r="W43">
        <v>7.6587058583384326E-2</v>
      </c>
      <c r="X43">
        <v>0.11418733279380611</v>
      </c>
      <c r="Y43">
        <v>7.0333086883163087E-3</v>
      </c>
      <c r="Z43">
        <v>0.12039127163280683</v>
      </c>
      <c r="AA43">
        <v>7.6444970614350405E-2</v>
      </c>
      <c r="AB43">
        <v>0.20382564374521239</v>
      </c>
      <c r="AC43">
        <v>0.16817031576631103</v>
      </c>
      <c r="AD43">
        <v>4.5534904100000002E-2</v>
      </c>
      <c r="AE43">
        <v>-0.15265907519999999</v>
      </c>
      <c r="AF43">
        <v>9.4612863828192006E-2</v>
      </c>
      <c r="AG43">
        <v>6.015458157168263E-2</v>
      </c>
      <c r="AH43">
        <v>0.15513876896700002</v>
      </c>
      <c r="AI43">
        <v>-0.22482864192499996</v>
      </c>
    </row>
    <row r="44" spans="1:35" x14ac:dyDescent="0.2">
      <c r="A44">
        <v>734046</v>
      </c>
      <c r="B44" s="2">
        <f t="shared" si="8"/>
        <v>40086</v>
      </c>
      <c r="C44">
        <v>0.16312263201832322</v>
      </c>
      <c r="D44">
        <v>2.1009132895787763E-2</v>
      </c>
      <c r="E44">
        <v>0.1008352986181042</v>
      </c>
      <c r="F44">
        <v>6.9776854437658756E-2</v>
      </c>
      <c r="G44">
        <v>7.1720000000000009E-4</v>
      </c>
      <c r="I44">
        <v>0.14522756206053974</v>
      </c>
      <c r="J44">
        <v>1.6794757953808588E-2</v>
      </c>
      <c r="K44">
        <v>9.0160110007069028E-2</v>
      </c>
      <c r="L44">
        <v>6.4391915685948112E-2</v>
      </c>
      <c r="M44">
        <v>7.1720000000000009E-4</v>
      </c>
      <c r="P44">
        <v>734046</v>
      </c>
      <c r="Q44" s="2">
        <v>40086</v>
      </c>
      <c r="R44" s="4">
        <v>2.8688000000000003E-3</v>
      </c>
      <c r="S44">
        <v>2.1009132895787763E-2</v>
      </c>
      <c r="T44">
        <v>3.0794333066221924E-2</v>
      </c>
      <c r="U44">
        <v>6.8289098951303195E-2</v>
      </c>
      <c r="V44">
        <v>0.14204486715600129</v>
      </c>
      <c r="W44">
        <v>8.8847597739941664E-2</v>
      </c>
      <c r="X44">
        <v>0.10415963062517064</v>
      </c>
      <c r="Y44">
        <v>2.3073544176706928E-2</v>
      </c>
      <c r="Z44">
        <v>0.1232930378329975</v>
      </c>
      <c r="AA44">
        <v>6.2963981303271854E-2</v>
      </c>
      <c r="AB44">
        <v>0.10534688358490207</v>
      </c>
      <c r="AC44">
        <v>0.16312263201832322</v>
      </c>
      <c r="AD44">
        <v>5.7915075699999999E-2</v>
      </c>
      <c r="AE44">
        <v>-5.10500272E-2</v>
      </c>
      <c r="AF44">
        <v>6.9163540327201289E-2</v>
      </c>
      <c r="AG44">
        <v>4.2630883488265492E-2</v>
      </c>
      <c r="AH44">
        <v>3.3214977947999977E-2</v>
      </c>
      <c r="AI44">
        <v>4.5427697553999974E-2</v>
      </c>
    </row>
    <row r="45" spans="1:35" x14ac:dyDescent="0.2">
      <c r="A45">
        <v>734138</v>
      </c>
      <c r="B45" s="2">
        <f t="shared" si="8"/>
        <v>40178</v>
      </c>
      <c r="C45">
        <v>5.8983098259768552E-2</v>
      </c>
      <c r="D45">
        <v>-1.3043330385688057E-2</v>
      </c>
      <c r="E45">
        <v>2.7413610503019159E-2</v>
      </c>
      <c r="F45">
        <v>1.7342291897869695E-2</v>
      </c>
      <c r="G45">
        <v>6.2657500000000009E-4</v>
      </c>
      <c r="I45">
        <v>4.1178653301985085E-2</v>
      </c>
      <c r="J45">
        <v>-1.7167080327667231E-2</v>
      </c>
      <c r="K45">
        <v>1.682904689198399E-2</v>
      </c>
      <c r="L45">
        <v>1.2047978146159054E-2</v>
      </c>
      <c r="M45">
        <v>6.2657500000000009E-4</v>
      </c>
      <c r="P45">
        <v>734138</v>
      </c>
      <c r="Q45" s="2">
        <v>40178</v>
      </c>
      <c r="R45" s="4">
        <v>2.5063000000000004E-3</v>
      </c>
      <c r="S45">
        <v>-1.3043330385688057E-2</v>
      </c>
      <c r="T45">
        <v>1.7623929129420235E-2</v>
      </c>
      <c r="U45">
        <v>1.8920443427521194E-2</v>
      </c>
      <c r="V45">
        <v>6.1826740291481608E-2</v>
      </c>
      <c r="W45">
        <v>1.2746395486522344E-2</v>
      </c>
      <c r="X45">
        <v>1.616086280655149E-2</v>
      </c>
      <c r="Y45">
        <v>5.7042266479390147E-3</v>
      </c>
      <c r="Z45">
        <v>3.2982910667131771E-2</v>
      </c>
      <c r="AA45">
        <v>1.3339738378538302E-2</v>
      </c>
      <c r="AB45">
        <v>3.7756214747120209E-2</v>
      </c>
      <c r="AC45">
        <v>5.8983098259768552E-2</v>
      </c>
      <c r="AD45">
        <v>6.1511035999999998E-2</v>
      </c>
      <c r="AE45">
        <v>-0.13165027639999999</v>
      </c>
      <c r="AF45">
        <v>2.9980791876172752E-2</v>
      </c>
      <c r="AG45">
        <v>3.7622867088895062E-2</v>
      </c>
      <c r="AH45">
        <v>3.2951677250999983E-2</v>
      </c>
      <c r="AI45">
        <v>-0.16302524306199997</v>
      </c>
    </row>
    <row r="46" spans="1:35" x14ac:dyDescent="0.2">
      <c r="A46">
        <v>734228</v>
      </c>
      <c r="B46" s="2">
        <f t="shared" si="8"/>
        <v>40268</v>
      </c>
      <c r="C46">
        <v>5.9448130602371085E-2</v>
      </c>
      <c r="D46">
        <v>1.1182521494908393E-2</v>
      </c>
      <c r="E46">
        <v>3.7325094824584348E-2</v>
      </c>
      <c r="F46">
        <v>4.2387555299801205E-2</v>
      </c>
      <c r="G46">
        <v>7.2874999999999991E-4</v>
      </c>
      <c r="I46">
        <v>4.1541510644587609E-2</v>
      </c>
      <c r="J46">
        <v>6.9565965529292196E-3</v>
      </c>
      <c r="K46">
        <v>2.663835621354918E-2</v>
      </c>
      <c r="L46">
        <v>3.6991066548090562E-2</v>
      </c>
      <c r="M46">
        <v>7.2874999999999991E-4</v>
      </c>
      <c r="P46">
        <v>734228</v>
      </c>
      <c r="Q46" s="2">
        <v>40268</v>
      </c>
      <c r="R46" s="4">
        <v>2.9149999999999996E-3</v>
      </c>
      <c r="S46">
        <v>1.1182521494908393E-2</v>
      </c>
      <c r="T46">
        <v>5.6474802318458028E-3</v>
      </c>
      <c r="U46">
        <v>2.4889754350275295E-2</v>
      </c>
      <c r="V46">
        <v>4.5126456379653401E-2</v>
      </c>
      <c r="W46">
        <v>3.6588720770288852E-2</v>
      </c>
      <c r="X46">
        <v>4.2695447798119845E-2</v>
      </c>
      <c r="Y46">
        <v>1.5399440131245834E-2</v>
      </c>
      <c r="Z46">
        <v>8.9519124101673508E-2</v>
      </c>
      <c r="AA46">
        <v>2.2244101666484273E-2</v>
      </c>
      <c r="AB46">
        <v>4.6388948154469922E-2</v>
      </c>
      <c r="AC46">
        <v>5.9448130602371085E-2</v>
      </c>
      <c r="AD46">
        <v>4.4184459500000002E-2</v>
      </c>
      <c r="AE46">
        <v>-8.7158533999999992E-3</v>
      </c>
      <c r="AF46">
        <v>2.6983050031315736E-2</v>
      </c>
      <c r="AG46">
        <v>1.1992431601954845E-3</v>
      </c>
      <c r="AH46">
        <v>5.0534196625E-2</v>
      </c>
      <c r="AI46">
        <v>4.6853754399999968E-2</v>
      </c>
    </row>
    <row r="47" spans="1:35" x14ac:dyDescent="0.2">
      <c r="A47">
        <v>734319</v>
      </c>
      <c r="B47" s="2">
        <f t="shared" si="8"/>
        <v>40359</v>
      </c>
      <c r="C47">
        <v>-0.11321218960884727</v>
      </c>
      <c r="D47">
        <v>4.6848197753013299E-2</v>
      </c>
      <c r="E47">
        <v>1.3438813914085607E-2</v>
      </c>
      <c r="F47">
        <v>2.776360470211096E-2</v>
      </c>
      <c r="G47">
        <v>1.3348499999999998E-3</v>
      </c>
      <c r="I47">
        <v>-0.13172490956663074</v>
      </c>
      <c r="J47">
        <v>4.2016172811034126E-2</v>
      </c>
      <c r="K47">
        <v>2.1459753030504385E-3</v>
      </c>
      <c r="L47">
        <v>2.1761015950400323E-2</v>
      </c>
      <c r="M47">
        <v>1.3348499999999998E-3</v>
      </c>
      <c r="P47">
        <v>734319</v>
      </c>
      <c r="Q47" s="2">
        <v>40359</v>
      </c>
      <c r="R47" s="4">
        <v>5.3393999999999994E-3</v>
      </c>
      <c r="S47">
        <v>4.6848197753013299E-2</v>
      </c>
      <c r="T47">
        <v>3.8226712431214782E-2</v>
      </c>
      <c r="U47">
        <v>2.535504345653905E-2</v>
      </c>
      <c r="V47">
        <v>-6.2537386481043011E-4</v>
      </c>
      <c r="W47">
        <v>1.6620222929936368E-2</v>
      </c>
      <c r="X47">
        <v>1.2405363134677438E-2</v>
      </c>
      <c r="Y47">
        <v>2.8710088172404724E-2</v>
      </c>
      <c r="Z47">
        <v>2.921776085705452E-2</v>
      </c>
      <c r="AA47">
        <v>2.5362965076873634E-2</v>
      </c>
      <c r="AB47">
        <v>-1.2789470733062469E-2</v>
      </c>
      <c r="AC47">
        <v>-0.11321218960884727</v>
      </c>
      <c r="AD47">
        <v>1.7030553699999999E-2</v>
      </c>
      <c r="AE47">
        <v>2.68074851E-2</v>
      </c>
      <c r="AF47">
        <v>-1.563916384475128E-2</v>
      </c>
      <c r="AG47">
        <v>1.1830757295268057E-3</v>
      </c>
      <c r="AH47">
        <v>1.7726497199999774E-4</v>
      </c>
      <c r="AI47">
        <v>0.18051704473699998</v>
      </c>
    </row>
    <row r="48" spans="1:35" x14ac:dyDescent="0.2">
      <c r="A48">
        <v>734411</v>
      </c>
      <c r="B48" s="2">
        <f t="shared" si="8"/>
        <v>40451</v>
      </c>
      <c r="C48">
        <v>0.11530180386818012</v>
      </c>
      <c r="D48">
        <v>2.7253589139800027E-2</v>
      </c>
      <c r="E48">
        <v>6.7010170239601236E-2</v>
      </c>
      <c r="F48">
        <v>3.2372702799912778E-2</v>
      </c>
      <c r="G48">
        <v>7.2499999999999995E-4</v>
      </c>
      <c r="I48">
        <v>9.739893391039664E-2</v>
      </c>
      <c r="J48">
        <v>2.3031414197820854E-2</v>
      </c>
      <c r="K48">
        <v>5.6327181628566064E-2</v>
      </c>
      <c r="L48">
        <v>2.6979964048202135E-2</v>
      </c>
      <c r="M48">
        <v>7.2499999999999995E-4</v>
      </c>
      <c r="P48">
        <v>734411</v>
      </c>
      <c r="Q48" s="2">
        <v>40451</v>
      </c>
      <c r="R48" s="4">
        <v>2.8999999999999998E-3</v>
      </c>
      <c r="S48">
        <v>2.7253589139800027E-2</v>
      </c>
      <c r="T48">
        <v>2.4834848759769601E-2</v>
      </c>
      <c r="U48">
        <v>4.2270596870942367E-2</v>
      </c>
      <c r="V48">
        <v>6.6113453951843315E-2</v>
      </c>
      <c r="W48">
        <v>7.7402512644803467E-2</v>
      </c>
      <c r="X48">
        <v>8.2254117490815792E-2</v>
      </c>
      <c r="Y48">
        <v>6.2765659302161936E-3</v>
      </c>
      <c r="Z48">
        <v>6.5723256914275829E-2</v>
      </c>
      <c r="AA48">
        <v>2.5118285555246311E-2</v>
      </c>
      <c r="AB48">
        <v>3.3128859698039914E-2</v>
      </c>
      <c r="AC48">
        <v>0.11530180386818012</v>
      </c>
      <c r="AD48">
        <v>5.1196899999999997E-2</v>
      </c>
      <c r="AE48">
        <v>2.6444185700000001E-2</v>
      </c>
      <c r="AF48">
        <v>5.2353341807884535E-2</v>
      </c>
      <c r="AG48">
        <v>5.762702395589725E-2</v>
      </c>
      <c r="AH48">
        <v>6.4801188702999987E-2</v>
      </c>
      <c r="AI48">
        <v>-3.8801308244999957E-2</v>
      </c>
    </row>
    <row r="49" spans="1:35" x14ac:dyDescent="0.2">
      <c r="A49">
        <v>734503</v>
      </c>
      <c r="B49" s="2">
        <f t="shared" si="8"/>
        <v>40543</v>
      </c>
      <c r="C49">
        <v>0.11592005970644315</v>
      </c>
      <c r="D49">
        <v>-2.6393209703743259E-2</v>
      </c>
      <c r="E49">
        <v>-7.1978318402492747E-3</v>
      </c>
      <c r="F49">
        <v>-5.1014752441643407E-4</v>
      </c>
      <c r="G49">
        <v>7.5702500000000004E-4</v>
      </c>
      <c r="I49">
        <v>9.7985164748659676E-2</v>
      </c>
      <c r="J49">
        <v>-3.0647409645722434E-2</v>
      </c>
      <c r="K49">
        <v>-1.7912845451284444E-2</v>
      </c>
      <c r="L49">
        <v>-5.9349112761270745E-3</v>
      </c>
      <c r="M49">
        <v>7.5702500000000004E-4</v>
      </c>
      <c r="P49">
        <v>734503</v>
      </c>
      <c r="Q49" s="2">
        <v>40543</v>
      </c>
      <c r="R49" s="4">
        <v>3.0281000000000001E-3</v>
      </c>
      <c r="S49">
        <v>-2.6393209703743259E-2</v>
      </c>
      <c r="T49">
        <v>-6.4697357678927814E-3</v>
      </c>
      <c r="U49">
        <v>-1.1064460016002808E-2</v>
      </c>
      <c r="V49">
        <v>3.2180681383182197E-2</v>
      </c>
      <c r="W49">
        <v>-3.2346972771602478E-2</v>
      </c>
      <c r="X49">
        <v>-1.7560575956574009E-2</v>
      </c>
      <c r="Y49">
        <v>2.4369440721334623E-3</v>
      </c>
      <c r="Z49">
        <v>1.0897203051216886E-2</v>
      </c>
      <c r="AA49">
        <v>-1.486458969659965E-2</v>
      </c>
      <c r="AB49">
        <v>3.1911597129205882E-2</v>
      </c>
      <c r="AC49">
        <v>0.11592005970644315</v>
      </c>
      <c r="AD49">
        <v>9.2661845000000007E-2</v>
      </c>
      <c r="AE49">
        <v>6.6131878300000002E-2</v>
      </c>
      <c r="AF49">
        <v>5.2970948393841422E-2</v>
      </c>
      <c r="AG49">
        <v>6.4106315269396807E-2</v>
      </c>
      <c r="AH49">
        <v>0.135930500398</v>
      </c>
      <c r="AI49">
        <v>0.13309576170099996</v>
      </c>
    </row>
    <row r="50" spans="1:35" x14ac:dyDescent="0.2">
      <c r="A50">
        <v>734593</v>
      </c>
      <c r="B50" s="2">
        <f t="shared" si="8"/>
        <v>40633</v>
      </c>
      <c r="C50">
        <v>6.3821628787653628E-2</v>
      </c>
      <c r="D50">
        <v>-1.6003732395895032E-3</v>
      </c>
      <c r="E50">
        <v>1.8328079685179022E-2</v>
      </c>
      <c r="F50">
        <v>1.2037022647716444E-2</v>
      </c>
      <c r="G50">
        <v>7.5749999999999993E-4</v>
      </c>
      <c r="I50">
        <v>4.5886258829870158E-2</v>
      </c>
      <c r="J50">
        <v>-5.8550481815686766E-3</v>
      </c>
      <c r="K50">
        <v>7.6125910741438527E-3</v>
      </c>
      <c r="L50">
        <v>6.6117838960058047E-3</v>
      </c>
      <c r="M50">
        <v>7.5749999999999993E-4</v>
      </c>
      <c r="P50">
        <v>734593</v>
      </c>
      <c r="Q50" s="2">
        <v>40633</v>
      </c>
      <c r="R50" s="4">
        <v>3.0299999999999997E-3</v>
      </c>
      <c r="S50">
        <v>-1.6003732395895032E-3</v>
      </c>
      <c r="T50">
        <v>2.0806537441372175E-2</v>
      </c>
      <c r="U50">
        <v>1.0830495258087769E-2</v>
      </c>
      <c r="V50">
        <v>3.8940809968847301E-2</v>
      </c>
      <c r="W50">
        <v>1.4836145106263077E-2</v>
      </c>
      <c r="X50">
        <v>8.7048684075179406E-3</v>
      </c>
      <c r="Y50">
        <v>5.8228712659245119E-3</v>
      </c>
      <c r="Z50">
        <v>2.3915039725316278E-2</v>
      </c>
      <c r="AA50">
        <v>6.3731569519085429E-3</v>
      </c>
      <c r="AB50">
        <v>2.427967394620989E-2</v>
      </c>
      <c r="AC50">
        <v>6.3821628787653628E-2</v>
      </c>
      <c r="AD50">
        <v>5.21977889E-2</v>
      </c>
      <c r="AE50">
        <v>3.6174468199999997E-2</v>
      </c>
      <c r="AF50">
        <v>1.8564367518953961E-2</v>
      </c>
      <c r="AG50">
        <v>1.6480170393159743E-2</v>
      </c>
      <c r="AH50">
        <v>2.4310653638000002E-2</v>
      </c>
      <c r="AI50">
        <v>-9.9950674520000032E-3</v>
      </c>
    </row>
    <row r="51" spans="1:35" x14ac:dyDescent="0.2">
      <c r="A51">
        <v>734684</v>
      </c>
      <c r="B51" s="2">
        <f t="shared" si="8"/>
        <v>40724</v>
      </c>
      <c r="C51">
        <v>-2.6823659585406556E-4</v>
      </c>
      <c r="D51">
        <v>2.3859332634198704E-2</v>
      </c>
      <c r="E51">
        <v>2.7470770262958938E-2</v>
      </c>
      <c r="F51">
        <v>1.9266197350021368E-2</v>
      </c>
      <c r="G51">
        <v>6.1437500000000001E-4</v>
      </c>
      <c r="I51">
        <v>-1.8060481553637538E-2</v>
      </c>
      <c r="J51">
        <v>1.974778269221953E-2</v>
      </c>
      <c r="K51">
        <v>1.689840665192377E-2</v>
      </c>
      <c r="L51">
        <v>1.3984083598310729E-2</v>
      </c>
      <c r="M51">
        <v>6.1437500000000001E-4</v>
      </c>
      <c r="P51">
        <v>734684</v>
      </c>
      <c r="Q51" s="2">
        <v>40724</v>
      </c>
      <c r="R51" s="4">
        <v>2.4575E-3</v>
      </c>
      <c r="S51">
        <v>2.3859332634198704E-2</v>
      </c>
      <c r="T51">
        <v>3.6555782705205431E-2</v>
      </c>
      <c r="U51">
        <v>2.1624316169074453E-2</v>
      </c>
      <c r="V51">
        <v>1.0494752623688264E-2</v>
      </c>
      <c r="W51">
        <v>3.9200567498380634E-2</v>
      </c>
      <c r="X51">
        <v>3.85634447606924E-2</v>
      </c>
      <c r="Y51">
        <v>2.278835031909443E-2</v>
      </c>
      <c r="Z51">
        <v>1.7312641347578595E-2</v>
      </c>
      <c r="AA51">
        <v>1.7697600383391077E-2</v>
      </c>
      <c r="AB51">
        <v>1.7826576257080617E-3</v>
      </c>
      <c r="AC51">
        <v>-2.6823659585406556E-4</v>
      </c>
      <c r="AD51">
        <v>4.7025159400000002E-2</v>
      </c>
      <c r="AE51">
        <v>5.87687499E-2</v>
      </c>
      <c r="AF51">
        <v>-3.5945015409611925E-3</v>
      </c>
      <c r="AG51">
        <v>-1.4480248547533325E-2</v>
      </c>
      <c r="AH51">
        <v>1.9736305978999995E-2</v>
      </c>
      <c r="AI51">
        <v>4.2191521804999993E-2</v>
      </c>
    </row>
    <row r="52" spans="1:35" x14ac:dyDescent="0.2">
      <c r="A52">
        <v>734776</v>
      </c>
      <c r="B52" s="2">
        <f t="shared" si="8"/>
        <v>40816</v>
      </c>
      <c r="C52">
        <v>-0.15279054883076149</v>
      </c>
      <c r="D52">
        <v>6.4783365529539116E-2</v>
      </c>
      <c r="E52">
        <v>-2.0536980729522786E-2</v>
      </c>
      <c r="F52">
        <v>1.3182457973212899E-2</v>
      </c>
      <c r="G52">
        <v>9.3582499999999994E-4</v>
      </c>
      <c r="I52">
        <v>-0.17090424378854496</v>
      </c>
      <c r="J52">
        <v>6.0350365587559941E-2</v>
      </c>
      <c r="K52">
        <v>-3.1430794340557955E-2</v>
      </c>
      <c r="L52">
        <v>7.5788942215022593E-3</v>
      </c>
      <c r="M52">
        <v>9.3582499999999994E-4</v>
      </c>
      <c r="P52">
        <v>734776</v>
      </c>
      <c r="Q52" s="2">
        <v>40816</v>
      </c>
      <c r="R52" s="4">
        <v>3.7432999999999998E-3</v>
      </c>
      <c r="S52">
        <v>6.4783365529539116E-2</v>
      </c>
      <c r="T52">
        <v>4.5141868261203921E-2</v>
      </c>
      <c r="U52">
        <v>8.1366807099499949E-3</v>
      </c>
      <c r="V52">
        <v>-6.1042814752013563E-2</v>
      </c>
      <c r="W52">
        <v>-8.3694426307354686E-3</v>
      </c>
      <c r="X52">
        <v>-2.0872346245292106E-2</v>
      </c>
      <c r="Y52">
        <v>2.3608446377431314E-2</v>
      </c>
      <c r="Z52">
        <v>-8.2790341126867117E-3</v>
      </c>
      <c r="AA52">
        <v>2.4217961654894093E-2</v>
      </c>
      <c r="AB52">
        <v>-3.8544503655733364E-2</v>
      </c>
      <c r="AC52">
        <v>-0.15279054883076149</v>
      </c>
      <c r="AD52">
        <v>-4.1615855799999997E-2</v>
      </c>
      <c r="AE52">
        <v>2.1245250399999999E-2</v>
      </c>
      <c r="AF52">
        <v>-4.2847550112635968E-2</v>
      </c>
      <c r="AG52">
        <v>-1.03684290470622E-2</v>
      </c>
      <c r="AH52">
        <v>-8.4044928941999997E-2</v>
      </c>
      <c r="AI52">
        <v>1.970897241299998E-2</v>
      </c>
    </row>
    <row r="53" spans="1:35" x14ac:dyDescent="0.2">
      <c r="A53">
        <v>734867</v>
      </c>
      <c r="B53" s="2">
        <f t="shared" si="8"/>
        <v>40907</v>
      </c>
      <c r="C53">
        <v>0.1212190189655229</v>
      </c>
      <c r="D53">
        <v>8.9017369850723504E-3</v>
      </c>
      <c r="E53">
        <v>4.3147126028943494E-2</v>
      </c>
      <c r="F53">
        <v>1.3945164626497345E-2</v>
      </c>
      <c r="G53">
        <v>1.4524999999999998E-3</v>
      </c>
      <c r="I53">
        <v>0.10258864900773942</v>
      </c>
      <c r="J53">
        <v>3.9520620430931776E-3</v>
      </c>
      <c r="K53">
        <v>3.1736637417908324E-2</v>
      </c>
      <c r="L53">
        <v>7.8249258747867048E-3</v>
      </c>
      <c r="M53">
        <v>1.4524999999999998E-3</v>
      </c>
      <c r="P53">
        <v>734867</v>
      </c>
      <c r="Q53" s="2">
        <v>40907</v>
      </c>
      <c r="R53" s="4">
        <v>5.8099999999999992E-3</v>
      </c>
      <c r="S53">
        <v>8.9017369850723504E-3</v>
      </c>
      <c r="T53">
        <v>2.6869868297173749E-2</v>
      </c>
      <c r="U53">
        <v>1.3960500695324729E-2</v>
      </c>
      <c r="V53">
        <v>6.4785553047403965E-2</v>
      </c>
      <c r="W53">
        <v>4.7318328744163862E-2</v>
      </c>
      <c r="X53">
        <v>4.6524121628881421E-2</v>
      </c>
      <c r="Y53">
        <v>8.8166262662907613E-3</v>
      </c>
      <c r="Z53">
        <v>3.0687176315992826E-2</v>
      </c>
      <c r="AA53">
        <v>2.3316912972084491E-3</v>
      </c>
      <c r="AB53">
        <v>2.8940611606682598E-2</v>
      </c>
      <c r="AC53">
        <v>0.1212190189655229</v>
      </c>
      <c r="AD53">
        <v>-4.1615855799999997E-2</v>
      </c>
      <c r="AE53">
        <v>2.1245250399999999E-2</v>
      </c>
      <c r="AF53">
        <v>1.4172393087854562E-2</v>
      </c>
      <c r="AG53">
        <v>4.2588249772266273E-3</v>
      </c>
      <c r="AH53">
        <v>-8.4044928941999997E-2</v>
      </c>
      <c r="AI53">
        <v>1.970897241299998E-2</v>
      </c>
    </row>
    <row r="54" spans="1:35" x14ac:dyDescent="0.2">
      <c r="A54">
        <v>734958</v>
      </c>
      <c r="B54" s="2">
        <f t="shared" si="8"/>
        <v>40998</v>
      </c>
      <c r="C54">
        <v>0.12867415571653029</v>
      </c>
      <c r="D54">
        <v>-1.292850050143024E-2</v>
      </c>
      <c r="E54">
        <v>3.882973330061476E-2</v>
      </c>
      <c r="F54">
        <v>1.6285262548893842E-2</v>
      </c>
      <c r="G54">
        <v>1.170375E-3</v>
      </c>
      <c r="I54">
        <v>0.11032591075874681</v>
      </c>
      <c r="J54">
        <v>-1.7596050443409412E-2</v>
      </c>
      <c r="K54">
        <v>2.7701369689579591E-2</v>
      </c>
      <c r="L54">
        <v>1.0447148797183201E-2</v>
      </c>
      <c r="M54">
        <v>1.170375E-3</v>
      </c>
      <c r="P54">
        <v>734958</v>
      </c>
      <c r="Q54" s="2">
        <v>40998</v>
      </c>
      <c r="R54" s="4">
        <v>4.6814999999999999E-3</v>
      </c>
      <c r="S54">
        <v>-1.292850050143024E-2</v>
      </c>
      <c r="T54">
        <v>8.6181249793402248E-3</v>
      </c>
      <c r="U54">
        <v>2.7470033257670834E-2</v>
      </c>
      <c r="V54">
        <v>5.3494452688856109E-2</v>
      </c>
      <c r="W54">
        <v>3.1892092704254971E-2</v>
      </c>
      <c r="X54">
        <v>4.2462354551677128E-2</v>
      </c>
      <c r="Y54">
        <v>5.6556586553917487E-3</v>
      </c>
      <c r="Z54">
        <v>3.4910754462276872E-2</v>
      </c>
      <c r="AA54">
        <v>8.2893745290129051E-3</v>
      </c>
      <c r="AB54">
        <v>3.761665744221987E-2</v>
      </c>
      <c r="AC54">
        <v>0.12867415571653029</v>
      </c>
      <c r="AD54">
        <v>5.3914164299999998E-2</v>
      </c>
      <c r="AE54">
        <v>4.0485010699999997E-2</v>
      </c>
      <c r="AF54">
        <v>4.4353389687225686E-2</v>
      </c>
      <c r="AG54">
        <v>1.731445353054184E-2</v>
      </c>
      <c r="AH54">
        <v>0.10622837341299998</v>
      </c>
      <c r="AI54">
        <v>3.2745960130999979E-2</v>
      </c>
    </row>
    <row r="55" spans="1:35" x14ac:dyDescent="0.2">
      <c r="A55">
        <v>735049</v>
      </c>
      <c r="B55" s="2">
        <f t="shared" si="8"/>
        <v>41089</v>
      </c>
      <c r="C55">
        <v>-3.1467100443943963E-2</v>
      </c>
      <c r="D55">
        <v>2.8347780825208613E-2</v>
      </c>
      <c r="E55">
        <v>2.357796340586768E-2</v>
      </c>
      <c r="F55">
        <v>1.1461930378177998E-2</v>
      </c>
      <c r="G55">
        <v>1.1515E-3</v>
      </c>
      <c r="I55">
        <v>-4.9796470401727438E-2</v>
      </c>
      <c r="J55">
        <v>2.3699105883229439E-2</v>
      </c>
      <c r="K55">
        <v>1.2468474794832513E-2</v>
      </c>
      <c r="L55">
        <v>5.6426916264673581E-3</v>
      </c>
      <c r="M55">
        <v>1.1515E-3</v>
      </c>
      <c r="P55">
        <v>735049</v>
      </c>
      <c r="Q55" s="2">
        <v>41089</v>
      </c>
      <c r="R55" s="4">
        <v>4.6059999999999999E-3</v>
      </c>
      <c r="S55">
        <v>2.8347780825208613E-2</v>
      </c>
      <c r="T55">
        <v>3.152618772878335E-2</v>
      </c>
      <c r="U55">
        <v>1.5795498131005226E-2</v>
      </c>
      <c r="V55">
        <v>1.7865128342724246E-2</v>
      </c>
      <c r="W55">
        <v>3.306654850591273E-2</v>
      </c>
      <c r="X55">
        <v>2.758467864382852E-2</v>
      </c>
      <c r="Y55">
        <v>1.0841356442778061E-2</v>
      </c>
      <c r="Z55">
        <v>1.025399470995314E-2</v>
      </c>
      <c r="AA55">
        <v>1.3290439981802793E-2</v>
      </c>
      <c r="AB55">
        <v>7.4860211889347106E-3</v>
      </c>
      <c r="AC55">
        <v>-3.1467100443943963E-2</v>
      </c>
      <c r="AD55">
        <v>5.52905733E-2</v>
      </c>
      <c r="AE55">
        <v>1.6410258699999999E-2</v>
      </c>
      <c r="AF55">
        <v>-1.5087119184498787E-2</v>
      </c>
      <c r="AG55">
        <v>-1.5823532579713029E-2</v>
      </c>
      <c r="AH55">
        <v>9.4406075771999998E-2</v>
      </c>
      <c r="AI55">
        <v>4.9169926230000077E-3</v>
      </c>
    </row>
    <row r="56" spans="1:35" x14ac:dyDescent="0.2">
      <c r="A56">
        <v>735140</v>
      </c>
      <c r="B56" s="2">
        <f t="shared" si="8"/>
        <v>41180</v>
      </c>
      <c r="C56">
        <v>6.2290060720899154E-2</v>
      </c>
      <c r="D56">
        <v>5.679716549535696E-3</v>
      </c>
      <c r="E56">
        <v>5.0503009772705165E-2</v>
      </c>
      <c r="F56">
        <v>2.0902073554682987E-2</v>
      </c>
      <c r="G56">
        <v>8.9624999999999991E-4</v>
      </c>
      <c r="I56">
        <v>4.4215940763115677E-2</v>
      </c>
      <c r="J56">
        <v>1.2862916075565235E-3</v>
      </c>
      <c r="K56">
        <v>3.9648771161669996E-2</v>
      </c>
      <c r="L56">
        <v>1.5338084802972347E-2</v>
      </c>
      <c r="M56">
        <v>8.9624999999999991E-4</v>
      </c>
      <c r="P56">
        <v>735140</v>
      </c>
      <c r="Q56" s="2">
        <v>41180</v>
      </c>
      <c r="R56" s="4">
        <v>3.5849999999999996E-3</v>
      </c>
      <c r="S56">
        <v>5.679716549535696E-3</v>
      </c>
      <c r="T56">
        <v>2.1205712907110374E-2</v>
      </c>
      <c r="U56">
        <v>3.1781930315283313E-2</v>
      </c>
      <c r="V56">
        <v>4.5295784548470053E-2</v>
      </c>
      <c r="W56">
        <v>5.8493954909792922E-2</v>
      </c>
      <c r="X56">
        <v>6.6440369317274373E-2</v>
      </c>
      <c r="Y56">
        <v>1.1266427974186977E-2</v>
      </c>
      <c r="Z56">
        <v>3.9093321856394914E-2</v>
      </c>
      <c r="AA56">
        <v>1.2346470833467071E-2</v>
      </c>
      <c r="AB56">
        <v>3.4139662254678349E-2</v>
      </c>
      <c r="AC56">
        <v>6.2290060720899154E-2</v>
      </c>
      <c r="AD56">
        <v>-4.3593370000000002E-4</v>
      </c>
      <c r="AE56">
        <v>2.24184921E-2</v>
      </c>
      <c r="AF56">
        <v>3.0389010679544581E-2</v>
      </c>
      <c r="AG56">
        <v>3.7846191642837312E-2</v>
      </c>
      <c r="AH56">
        <v>-6.8647753719000004E-2</v>
      </c>
      <c r="AI56">
        <v>1.7221299305999999E-2</v>
      </c>
    </row>
    <row r="57" spans="1:35" x14ac:dyDescent="0.2">
      <c r="A57">
        <v>735234</v>
      </c>
      <c r="B57" s="2">
        <f t="shared" si="8"/>
        <v>41274</v>
      </c>
      <c r="C57">
        <v>2.4982327410376648E-3</v>
      </c>
      <c r="D57">
        <v>-8.6626176591575454E-4</v>
      </c>
      <c r="E57">
        <v>2.3396788293885334E-2</v>
      </c>
      <c r="F57">
        <v>4.3434336044440398E-3</v>
      </c>
      <c r="G57">
        <v>7.6499999999999995E-4</v>
      </c>
      <c r="I57">
        <v>-1.5444637216745808E-2</v>
      </c>
      <c r="J57">
        <v>-5.1284367078949277E-3</v>
      </c>
      <c r="K57">
        <v>1.2673799682850168E-2</v>
      </c>
      <c r="L57">
        <v>-1.0893051472666004E-3</v>
      </c>
      <c r="M57">
        <v>7.6499999999999995E-4</v>
      </c>
      <c r="P57">
        <v>735234</v>
      </c>
      <c r="Q57" s="2">
        <v>41274</v>
      </c>
      <c r="R57" s="4">
        <v>3.0599999999999998E-3</v>
      </c>
      <c r="S57">
        <v>-8.6626176591575454E-4</v>
      </c>
      <c r="T57">
        <v>6.8825861101062813E-3</v>
      </c>
      <c r="U57">
        <v>1.0714354133678827E-2</v>
      </c>
      <c r="V57">
        <v>3.2888515288431286E-2</v>
      </c>
      <c r="W57">
        <v>2.1983031530961039E-2</v>
      </c>
      <c r="X57">
        <v>2.8001252222470185E-2</v>
      </c>
      <c r="Y57">
        <v>-2.0299564327888042E-3</v>
      </c>
      <c r="Z57">
        <v>1.2874499516774662E-2</v>
      </c>
      <c r="AA57">
        <v>2.1857577293462604E-3</v>
      </c>
      <c r="AB57">
        <v>1.4471709771383123E-2</v>
      </c>
      <c r="AC57">
        <v>2.4982327410376648E-3</v>
      </c>
      <c r="AD57">
        <v>3.8893518199999998E-2</v>
      </c>
      <c r="AE57">
        <v>3.3059350299999998E-2</v>
      </c>
      <c r="AF57">
        <v>1.79603279247178E-2</v>
      </c>
      <c r="AG57">
        <v>-1.34135646908774E-2</v>
      </c>
      <c r="AH57">
        <v>7.6773789595000003E-2</v>
      </c>
      <c r="AI57">
        <v>5.3111699612000005E-2</v>
      </c>
    </row>
    <row r="58" spans="1:35" x14ac:dyDescent="0.2">
      <c r="A58">
        <v>735322</v>
      </c>
      <c r="B58" s="2">
        <f t="shared" si="8"/>
        <v>41362</v>
      </c>
      <c r="C58">
        <v>0.11073509155472427</v>
      </c>
      <c r="D58">
        <v>-1.855116828767378E-3</v>
      </c>
      <c r="E58">
        <v>-4.3257834389201222E-3</v>
      </c>
      <c r="F58">
        <v>7.9739386520786637E-4</v>
      </c>
      <c r="G58">
        <v>7.065000000000001E-4</v>
      </c>
      <c r="I58">
        <v>9.28507215969408E-2</v>
      </c>
      <c r="J58">
        <v>-6.0587917707465508E-3</v>
      </c>
      <c r="K58">
        <v>-1.4990272049955291E-2</v>
      </c>
      <c r="L58">
        <v>-4.576844886502774E-3</v>
      </c>
      <c r="M58">
        <v>7.065000000000001E-4</v>
      </c>
      <c r="P58">
        <v>735322</v>
      </c>
      <c r="Q58" s="2">
        <v>41362</v>
      </c>
      <c r="R58" s="4">
        <v>2.8260000000000004E-3</v>
      </c>
      <c r="S58">
        <v>-1.855116828767378E-3</v>
      </c>
      <c r="T58">
        <v>-3.622011042940243E-3</v>
      </c>
      <c r="U58">
        <v>5.7388406428524608E-3</v>
      </c>
      <c r="V58">
        <v>2.8931841302136441E-2</v>
      </c>
      <c r="W58">
        <v>-2.9390627710455086E-2</v>
      </c>
      <c r="X58">
        <v>-2.2583187990214304E-2</v>
      </c>
      <c r="Y58">
        <v>-4.6736169014982565E-4</v>
      </c>
      <c r="Z58">
        <v>2.3854148918043272E-3</v>
      </c>
      <c r="AA58">
        <v>4.7412839396909767E-4</v>
      </c>
      <c r="AB58">
        <v>2.0830161098760458E-2</v>
      </c>
      <c r="AC58">
        <v>0.11073509155472427</v>
      </c>
      <c r="AD58">
        <v>3.8893518199999998E-2</v>
      </c>
      <c r="AE58">
        <v>3.3059350299999998E-2</v>
      </c>
      <c r="AF58">
        <v>3.3364797192910745E-2</v>
      </c>
      <c r="AG58">
        <v>4.7232568051174817E-3</v>
      </c>
      <c r="AH58">
        <v>7.6773789595000003E-2</v>
      </c>
      <c r="AI58">
        <v>5.3111699612000005E-2</v>
      </c>
    </row>
    <row r="59" spans="1:35" x14ac:dyDescent="0.2">
      <c r="A59">
        <v>735413</v>
      </c>
      <c r="B59" s="2">
        <f t="shared" si="8"/>
        <v>41453</v>
      </c>
      <c r="C59">
        <v>2.6852250050628079E-2</v>
      </c>
      <c r="D59">
        <v>-1.9250459788521579E-2</v>
      </c>
      <c r="E59">
        <v>-4.0663819957368535E-2</v>
      </c>
      <c r="F59">
        <v>-1.4812012523820806E-2</v>
      </c>
      <c r="G59">
        <v>6.8274999999999998E-4</v>
      </c>
      <c r="I59">
        <v>8.9916300928446075E-3</v>
      </c>
      <c r="J59">
        <v>-2.3430384730500752E-2</v>
      </c>
      <c r="K59">
        <v>-5.1304558568403706E-2</v>
      </c>
      <c r="L59">
        <v>-2.0162501275531444E-2</v>
      </c>
      <c r="M59">
        <v>6.8274999999999998E-4</v>
      </c>
      <c r="P59">
        <v>735413</v>
      </c>
      <c r="Q59" s="2">
        <v>41453</v>
      </c>
      <c r="R59" s="4">
        <v>2.7309999999999999E-3</v>
      </c>
      <c r="S59">
        <v>-1.9250459788521579E-2</v>
      </c>
      <c r="T59">
        <v>-7.0542962709013279E-2</v>
      </c>
      <c r="U59">
        <v>-2.516627764790913E-2</v>
      </c>
      <c r="V59">
        <v>-1.4355769991299616E-2</v>
      </c>
      <c r="W59">
        <v>-6.6765389230730054E-2</v>
      </c>
      <c r="X59">
        <v>-5.6367842959535341E-2</v>
      </c>
      <c r="Y59">
        <v>-1.9617115561388565E-2</v>
      </c>
      <c r="Z59">
        <v>-1.679415264320927E-2</v>
      </c>
      <c r="AA59">
        <v>-8.0247693668645814E-3</v>
      </c>
      <c r="AB59">
        <v>1.9220360797282954E-3</v>
      </c>
      <c r="AC59">
        <v>2.6852250050628079E-2</v>
      </c>
      <c r="AD59">
        <v>4.5934216799999997E-2</v>
      </c>
      <c r="AE59">
        <v>1.9918771299999999E-2</v>
      </c>
      <c r="AF59">
        <v>-9.1316730176260741E-5</v>
      </c>
      <c r="AG59">
        <v>-2.6976132180129286E-2</v>
      </c>
      <c r="AH59">
        <v>3.6697143044999991E-2</v>
      </c>
      <c r="AI59">
        <v>7.1029836759999992E-3</v>
      </c>
    </row>
    <row r="60" spans="1:35" x14ac:dyDescent="0.2">
      <c r="A60">
        <v>735507</v>
      </c>
      <c r="B60" s="2">
        <f t="shared" si="8"/>
        <v>41547</v>
      </c>
      <c r="C60">
        <v>6.3481652189327997E-2</v>
      </c>
      <c r="D60">
        <v>1.0093713200003407E-3</v>
      </c>
      <c r="E60">
        <v>1.3373285387112743E-2</v>
      </c>
      <c r="F60">
        <v>7.5254159118962605E-3</v>
      </c>
      <c r="G60">
        <v>6.2212499999999996E-4</v>
      </c>
      <c r="I60">
        <v>4.568165723154452E-2</v>
      </c>
      <c r="J60">
        <v>-3.1099286219788322E-3</v>
      </c>
      <c r="K60">
        <v>2.793171776077576E-3</v>
      </c>
      <c r="L60">
        <v>2.23555216018562E-3</v>
      </c>
      <c r="M60">
        <v>6.2212499999999996E-4</v>
      </c>
      <c r="P60">
        <v>735507</v>
      </c>
      <c r="Q60" s="2">
        <v>41547</v>
      </c>
      <c r="R60" s="4">
        <v>2.4884999999999998E-3</v>
      </c>
      <c r="S60">
        <v>1.0093713200003407E-3</v>
      </c>
      <c r="T60">
        <v>7.0162522154944007E-3</v>
      </c>
      <c r="U60">
        <v>1.0868469821334825E-2</v>
      </c>
      <c r="V60">
        <v>2.2810255587208506E-2</v>
      </c>
      <c r="W60">
        <v>7.9612606697307964E-3</v>
      </c>
      <c r="X60">
        <v>1.1853155470176846E-2</v>
      </c>
      <c r="Y60">
        <v>1.02703903832293E-2</v>
      </c>
      <c r="Z60">
        <v>1.0649700909374005E-2</v>
      </c>
      <c r="AA60">
        <v>1.6561564430854769E-3</v>
      </c>
      <c r="AB60">
        <v>1.2220435733183654E-2</v>
      </c>
      <c r="AC60">
        <v>6.3481652189327997E-2</v>
      </c>
      <c r="AD60">
        <v>5.2149661299999997E-2</v>
      </c>
      <c r="AE60">
        <v>1.7142520299999998E-2</v>
      </c>
      <c r="AF60">
        <v>2.4630045132523204E-2</v>
      </c>
      <c r="AG60">
        <v>1.217444061049533E-2</v>
      </c>
      <c r="AH60">
        <v>6.8446694432999999E-2</v>
      </c>
      <c r="AI60">
        <v>-1.2333267800001407E-4</v>
      </c>
    </row>
    <row r="61" spans="1:35" x14ac:dyDescent="0.2">
      <c r="A61">
        <v>735599</v>
      </c>
      <c r="B61" s="2">
        <f t="shared" si="8"/>
        <v>41639</v>
      </c>
      <c r="C61">
        <v>0.10103390508576293</v>
      </c>
      <c r="D61">
        <v>-7.5478226484108069E-3</v>
      </c>
      <c r="E61">
        <v>1.5846238477233654E-2</v>
      </c>
      <c r="F61">
        <v>1.6073687817941644E-3</v>
      </c>
      <c r="G61">
        <v>6.1525000000000002E-4</v>
      </c>
      <c r="I61">
        <v>8.3240785127979458E-2</v>
      </c>
      <c r="J61">
        <v>-1.1660247590389979E-2</v>
      </c>
      <c r="K61">
        <v>5.2729998661984866E-3</v>
      </c>
      <c r="L61">
        <v>-3.6756199699164759E-3</v>
      </c>
      <c r="M61">
        <v>6.1525000000000002E-4</v>
      </c>
      <c r="P61">
        <v>735599</v>
      </c>
      <c r="Q61" s="2">
        <v>41639</v>
      </c>
      <c r="R61" s="4">
        <v>2.4610000000000001E-3</v>
      </c>
      <c r="S61">
        <v>-7.5478226484108069E-3</v>
      </c>
      <c r="T61">
        <v>-2.0006422677732338E-2</v>
      </c>
      <c r="U61">
        <v>8.3587209904525395E-3</v>
      </c>
      <c r="V61">
        <v>3.575701704489731E-2</v>
      </c>
      <c r="W61">
        <v>4.0170453003285367E-3</v>
      </c>
      <c r="X61">
        <v>1.525217057325623E-2</v>
      </c>
      <c r="Y61">
        <v>-4.1736853963928455E-3</v>
      </c>
      <c r="Z61">
        <v>5.816141503301564E-3</v>
      </c>
      <c r="AA61">
        <v>3.1796502384737746E-3</v>
      </c>
      <c r="AB61">
        <v>1.6989465102890566E-2</v>
      </c>
      <c r="AC61">
        <v>0.10103390508576293</v>
      </c>
      <c r="AD61">
        <v>7.0192381200000001E-2</v>
      </c>
      <c r="AE61">
        <v>4.6945326199999998E-2</v>
      </c>
      <c r="AF61">
        <v>3.5974484472979018E-2</v>
      </c>
      <c r="AG61">
        <v>6.9924660648522652E-3</v>
      </c>
      <c r="AH61">
        <v>9.2478943714000006E-2</v>
      </c>
      <c r="AI61">
        <v>7.9511918423999989E-2</v>
      </c>
    </row>
    <row r="62" spans="1:35" x14ac:dyDescent="0.2">
      <c r="A62">
        <v>735689</v>
      </c>
      <c r="B62" s="2">
        <f t="shared" si="8"/>
        <v>41729</v>
      </c>
      <c r="C62">
        <v>1.9726844518628273E-2</v>
      </c>
      <c r="D62">
        <v>1.3422451103928035E-2</v>
      </c>
      <c r="E62">
        <v>3.0772053753074735E-2</v>
      </c>
      <c r="F62">
        <v>1.1752987653258421E-2</v>
      </c>
      <c r="G62">
        <v>5.7649999999999997E-4</v>
      </c>
      <c r="I62">
        <v>1.9724745608447995E-3</v>
      </c>
      <c r="J62">
        <v>9.3487761619488602E-3</v>
      </c>
      <c r="K62">
        <v>2.0237565142039567E-2</v>
      </c>
      <c r="L62">
        <v>6.50874890154778E-3</v>
      </c>
      <c r="M62">
        <v>5.7649999999999997E-4</v>
      </c>
      <c r="P62">
        <v>735689</v>
      </c>
      <c r="Q62" s="2">
        <v>41729</v>
      </c>
      <c r="R62" s="4">
        <v>2.3059999999999999E-3</v>
      </c>
      <c r="S62">
        <v>1.3422451103928035E-2</v>
      </c>
      <c r="T62">
        <v>1.9464104593230003E-2</v>
      </c>
      <c r="U62">
        <v>1.8530299889410795E-2</v>
      </c>
      <c r="V62">
        <v>2.9769344392682751E-2</v>
      </c>
      <c r="W62">
        <v>3.7468573436781893E-2</v>
      </c>
      <c r="X62">
        <v>3.7319997293423501E-2</v>
      </c>
      <c r="Y62">
        <v>1.5854289223608431E-2</v>
      </c>
      <c r="Z62">
        <v>1.4048096874043292E-2</v>
      </c>
      <c r="AA62">
        <v>5.356576862123541E-3</v>
      </c>
      <c r="AB62">
        <v>1.1957985901642099E-2</v>
      </c>
      <c r="AC62">
        <v>1.9726844518628273E-2</v>
      </c>
      <c r="AD62">
        <v>3.1248577499999999E-2</v>
      </c>
      <c r="AE62">
        <v>2.8005012900000001E-2</v>
      </c>
      <c r="AF62">
        <v>1.4282535536061847E-2</v>
      </c>
      <c r="AG62">
        <v>1.6529999999999384E-3</v>
      </c>
      <c r="AH62">
        <v>-1.852821289000002E-3</v>
      </c>
      <c r="AI62">
        <v>1.914450397100001E-2</v>
      </c>
    </row>
    <row r="63" spans="1:35" x14ac:dyDescent="0.2">
      <c r="A63">
        <v>735780</v>
      </c>
      <c r="B63" s="2">
        <f t="shared" si="8"/>
        <v>41820</v>
      </c>
      <c r="C63">
        <v>4.8721236876926532E-2</v>
      </c>
      <c r="D63">
        <v>1.3544461809139152E-2</v>
      </c>
      <c r="E63">
        <v>3.3759124967589094E-2</v>
      </c>
      <c r="F63">
        <v>1.5494456754025313E-2</v>
      </c>
      <c r="G63">
        <v>5.7675000000000001E-4</v>
      </c>
      <c r="I63">
        <v>3.0966616919143059E-2</v>
      </c>
      <c r="J63">
        <v>9.4705368671599774E-3</v>
      </c>
      <c r="K63">
        <v>2.3224386356553925E-2</v>
      </c>
      <c r="L63">
        <v>1.0249968002314674E-2</v>
      </c>
      <c r="M63">
        <v>5.7675000000000001E-4</v>
      </c>
      <c r="P63">
        <v>735780</v>
      </c>
      <c r="Q63" s="2">
        <v>41820</v>
      </c>
      <c r="R63" s="4">
        <v>2.307E-3</v>
      </c>
      <c r="S63">
        <v>1.3544461809139152E-2</v>
      </c>
      <c r="T63">
        <v>3.8080743917821014E-2</v>
      </c>
      <c r="U63">
        <v>1.9678321136722632E-2</v>
      </c>
      <c r="V63">
        <v>2.4053845305086696E-2</v>
      </c>
      <c r="W63">
        <v>4.3750162857961961E-2</v>
      </c>
      <c r="X63">
        <v>4.7554170570585086E-2</v>
      </c>
      <c r="Y63">
        <v>2.4065206208802037E-2</v>
      </c>
      <c r="Z63">
        <v>1.4725613846773067E-2</v>
      </c>
      <c r="AA63">
        <v>7.6925502065008367E-3</v>
      </c>
      <c r="AB63">
        <v>1.3846015646691745E-2</v>
      </c>
      <c r="AC63">
        <v>4.8721236876926532E-2</v>
      </c>
      <c r="AD63">
        <v>5.4932482499999997E-2</v>
      </c>
      <c r="AE63">
        <v>4.5275301599999998E-2</v>
      </c>
      <c r="AF63">
        <v>2.2093932663465266E-2</v>
      </c>
      <c r="AG63">
        <v>1.9974233463762259E-2</v>
      </c>
      <c r="AH63">
        <v>5.536623110499999E-2</v>
      </c>
      <c r="AI63">
        <v>5.3551316075999979E-2</v>
      </c>
    </row>
    <row r="64" spans="1:35" x14ac:dyDescent="0.2">
      <c r="A64">
        <v>735872</v>
      </c>
      <c r="B64" s="2">
        <f t="shared" si="8"/>
        <v>41912</v>
      </c>
      <c r="C64">
        <v>1.0971625959599329E-4</v>
      </c>
      <c r="D64">
        <v>3.379656118777552E-3</v>
      </c>
      <c r="E64">
        <v>-6.9779087740517026E-3</v>
      </c>
      <c r="F64">
        <v>-5.6484563036381573E-5</v>
      </c>
      <c r="G64">
        <v>5.8775000000000006E-4</v>
      </c>
      <c r="I64">
        <v>-1.7655903698187481E-2</v>
      </c>
      <c r="J64">
        <v>-7.0526882320162123E-4</v>
      </c>
      <c r="K64">
        <v>-1.7523647385086868E-2</v>
      </c>
      <c r="L64">
        <v>-5.3119733147470221E-3</v>
      </c>
      <c r="M64">
        <v>5.8775000000000006E-4</v>
      </c>
      <c r="P64">
        <v>735872</v>
      </c>
      <c r="Q64" s="2">
        <v>41912</v>
      </c>
      <c r="R64" s="4">
        <v>2.3510000000000002E-3</v>
      </c>
      <c r="S64">
        <v>3.379656118777552E-3</v>
      </c>
      <c r="T64">
        <v>-2.0431806620510695E-2</v>
      </c>
      <c r="U64">
        <v>-1.4477708221413699E-3</v>
      </c>
      <c r="V64">
        <v>-1.8622274898538294E-2</v>
      </c>
      <c r="W64">
        <v>-1.9472738166567138E-3</v>
      </c>
      <c r="X64">
        <v>-5.8943155588704332E-3</v>
      </c>
      <c r="Y64">
        <v>1.8228047372208511E-3</v>
      </c>
      <c r="Z64">
        <v>-2.1486892995271623E-3</v>
      </c>
      <c r="AA64">
        <v>1.5643087319716642E-4</v>
      </c>
      <c r="AB64">
        <v>-4.712060862105738E-3</v>
      </c>
      <c r="AC64">
        <v>1.0971625959599329E-4</v>
      </c>
      <c r="AD64">
        <v>1.47142509E-2</v>
      </c>
      <c r="AE64">
        <v>3.8561971200000003E-2</v>
      </c>
      <c r="AF64">
        <v>7.752372615775549E-3</v>
      </c>
      <c r="AG64">
        <v>2.6705563201753411E-2</v>
      </c>
      <c r="AH64">
        <v>8.4010675460000038E-3</v>
      </c>
      <c r="AI64">
        <v>4.6704248213000003E-2</v>
      </c>
    </row>
    <row r="65" spans="1:35" x14ac:dyDescent="0.2">
      <c r="A65">
        <v>735964</v>
      </c>
      <c r="B65" s="2">
        <f t="shared" si="8"/>
        <v>42004</v>
      </c>
      <c r="C65">
        <v>5.2401460835592273E-2</v>
      </c>
      <c r="D65">
        <v>1.9334947397924962E-2</v>
      </c>
      <c r="E65">
        <v>2.5567168635319548E-3</v>
      </c>
      <c r="F65">
        <v>1.2738193871893714E-2</v>
      </c>
      <c r="G65">
        <v>6.3900000000000003E-4</v>
      </c>
      <c r="I65">
        <v>3.4584590877808796E-2</v>
      </c>
      <c r="J65">
        <v>1.5198772455945787E-2</v>
      </c>
      <c r="K65">
        <v>-8.0402717475032137E-3</v>
      </c>
      <c r="L65">
        <v>7.4314551201830727E-3</v>
      </c>
      <c r="M65">
        <v>6.3900000000000003E-4</v>
      </c>
      <c r="P65">
        <v>735964</v>
      </c>
      <c r="Q65" s="2">
        <v>42004</v>
      </c>
      <c r="R65" s="4">
        <v>2.5560000000000001E-3</v>
      </c>
      <c r="S65">
        <v>1.9334947397924962E-2</v>
      </c>
      <c r="T65">
        <v>-2.6054994315927171E-4</v>
      </c>
      <c r="U65">
        <v>9.215486676807827E-3</v>
      </c>
      <c r="V65">
        <v>-9.9727350912185431E-3</v>
      </c>
      <c r="W65">
        <v>1.6509079993996867E-2</v>
      </c>
      <c r="X65">
        <v>-5.5249641254583315E-3</v>
      </c>
      <c r="Y65">
        <v>1.7864065625630143E-2</v>
      </c>
      <c r="Z65">
        <v>1.4907573047107991E-2</v>
      </c>
      <c r="AA65">
        <v>5.4429429429430076E-3</v>
      </c>
      <c r="AB65">
        <v>-5.0742729505642847E-3</v>
      </c>
      <c r="AC65">
        <v>5.2401460835592273E-2</v>
      </c>
      <c r="AD65">
        <v>8.9487383999999996E-3</v>
      </c>
      <c r="AE65">
        <v>5.7537159800000001E-2</v>
      </c>
      <c r="AF65">
        <v>9.9093572361150795E-3</v>
      </c>
      <c r="AG65">
        <v>2.4430992411334704E-2</v>
      </c>
      <c r="AH65">
        <v>-1.0102126879000002E-2</v>
      </c>
      <c r="AI65">
        <v>7.0377693479999989E-2</v>
      </c>
    </row>
    <row r="66" spans="1:35" x14ac:dyDescent="0.2">
      <c r="A66">
        <v>736054</v>
      </c>
      <c r="B66" s="2">
        <f t="shared" si="8"/>
        <v>42094</v>
      </c>
      <c r="C66">
        <v>1.8003567759692363E-2</v>
      </c>
      <c r="D66">
        <v>1.6393908937477386E-2</v>
      </c>
      <c r="E66">
        <v>2.275837355601279E-2</v>
      </c>
      <c r="F66">
        <v>1.2711908252236004E-2</v>
      </c>
      <c r="G66">
        <v>6.7687499999999996E-4</v>
      </c>
      <c r="I66">
        <v>1.4882280190888983E-4</v>
      </c>
      <c r="J66">
        <v>1.2219858995498212E-2</v>
      </c>
      <c r="K66">
        <v>1.2123509944977622E-2</v>
      </c>
      <c r="L66">
        <v>7.3672945005253633E-3</v>
      </c>
      <c r="M66">
        <v>6.7687499999999996E-4</v>
      </c>
      <c r="P66">
        <v>736054</v>
      </c>
      <c r="Q66" s="2">
        <v>42094</v>
      </c>
      <c r="R66" s="4">
        <v>2.7074999999999998E-3</v>
      </c>
      <c r="S66">
        <v>1.6393908937477386E-2</v>
      </c>
      <c r="T66">
        <v>1.423575698371593E-2</v>
      </c>
      <c r="U66">
        <v>1.9746274094160521E-2</v>
      </c>
      <c r="V66">
        <v>2.5192222386514862E-2</v>
      </c>
      <c r="W66">
        <v>2.5960923273783187E-2</v>
      </c>
      <c r="X66">
        <v>2.0134074469592589E-2</v>
      </c>
      <c r="Y66">
        <v>1.0572982525632657E-2</v>
      </c>
      <c r="Z66">
        <v>1.8540279409844596E-2</v>
      </c>
      <c r="AA66">
        <v>9.0224628212307589E-3</v>
      </c>
      <c r="AB66">
        <v>2.1250635485510871E-2</v>
      </c>
      <c r="AC66">
        <v>1.8003567759692363E-2</v>
      </c>
      <c r="AD66">
        <v>2.7397784599999999E-2</v>
      </c>
      <c r="AE66">
        <v>3.5860390300000003E-2</v>
      </c>
      <c r="AF66">
        <v>3.4295721359034248E-2</v>
      </c>
      <c r="AG66">
        <v>2.4577032429912736E-2</v>
      </c>
      <c r="AH66">
        <v>4.4205531882999999E-2</v>
      </c>
      <c r="AI66">
        <v>1.532479234799998E-2</v>
      </c>
    </row>
    <row r="67" spans="1:35" x14ac:dyDescent="0.2">
      <c r="A67">
        <v>736145</v>
      </c>
      <c r="B67" s="2">
        <f t="shared" si="8"/>
        <v>42185</v>
      </c>
      <c r="C67">
        <v>1.3774218428714846E-3</v>
      </c>
      <c r="D67">
        <v>-1.5816969075050258E-2</v>
      </c>
      <c r="E67">
        <v>-9.1587001254744282E-3</v>
      </c>
      <c r="F67">
        <v>-5.6119759825840054E-3</v>
      </c>
      <c r="G67">
        <v>7.0799999999999997E-4</v>
      </c>
      <c r="I67">
        <v>-1.6508448114911988E-2</v>
      </c>
      <c r="J67">
        <v>-2.0022144017029432E-2</v>
      </c>
      <c r="K67">
        <v>-1.9824688736509596E-2</v>
      </c>
      <c r="L67">
        <v>-1.0987714734294645E-2</v>
      </c>
      <c r="M67">
        <v>7.0799999999999997E-4</v>
      </c>
      <c r="P67">
        <v>736145</v>
      </c>
      <c r="Q67" s="2">
        <v>42185</v>
      </c>
      <c r="R67" s="4">
        <v>2.8319999999999999E-3</v>
      </c>
      <c r="S67">
        <v>-1.5816969075050258E-2</v>
      </c>
      <c r="T67">
        <v>-1.0636793819957191E-2</v>
      </c>
      <c r="U67">
        <v>-1.1940559505308257E-2</v>
      </c>
      <c r="V67">
        <v>7.2114951232382651E-5</v>
      </c>
      <c r="W67">
        <v>-2.1370493847888139E-2</v>
      </c>
      <c r="X67">
        <v>-3.3958620999336997E-3</v>
      </c>
      <c r="Y67">
        <v>-7.4422484535098254E-3</v>
      </c>
      <c r="Z67">
        <v>-1.1120369183438061E-2</v>
      </c>
      <c r="AA67">
        <v>1.7266896891958705E-3</v>
      </c>
      <c r="AB67">
        <v>6.8657905217044402E-3</v>
      </c>
      <c r="AC67">
        <v>1.3774218428714846E-3</v>
      </c>
      <c r="AD67">
        <v>3.9967138499999999E-2</v>
      </c>
      <c r="AE67">
        <v>4.4731093800000003E-2</v>
      </c>
      <c r="AF67">
        <v>4.9678189885566937E-3</v>
      </c>
      <c r="AG67">
        <v>-3.3865449454129518E-2</v>
      </c>
      <c r="AH67">
        <v>5.6801305598999999E-2</v>
      </c>
      <c r="AI67">
        <v>4.7403658404999993E-2</v>
      </c>
    </row>
    <row r="68" spans="1:35" x14ac:dyDescent="0.2">
      <c r="A68">
        <v>736237</v>
      </c>
      <c r="B68" s="2">
        <f t="shared" si="8"/>
        <v>42277</v>
      </c>
      <c r="C68">
        <v>-7.2492260598073899E-2</v>
      </c>
      <c r="D68">
        <v>1.7630415310025294E-2</v>
      </c>
      <c r="E68">
        <v>-2.1799198260782526E-2</v>
      </c>
      <c r="F68">
        <v>1.2016002698368148E-2</v>
      </c>
      <c r="G68">
        <v>8.1250000000000007E-4</v>
      </c>
      <c r="I68">
        <v>-9.0482630555857368E-2</v>
      </c>
      <c r="J68">
        <v>1.3320740368046119E-2</v>
      </c>
      <c r="K68">
        <v>-3.2569686871817695E-2</v>
      </c>
      <c r="L68">
        <v>6.5357639466575067E-3</v>
      </c>
      <c r="M68">
        <v>8.1250000000000007E-4</v>
      </c>
      <c r="P68">
        <v>736237</v>
      </c>
      <c r="Q68" s="2">
        <v>42277</v>
      </c>
      <c r="R68" s="4">
        <v>3.2500000000000003E-3</v>
      </c>
      <c r="S68">
        <v>1.7630415310025294E-2</v>
      </c>
      <c r="T68">
        <v>-1.1456724953575081E-2</v>
      </c>
      <c r="U68">
        <v>7.291246768943882E-3</v>
      </c>
      <c r="V68">
        <v>-4.8313533197526737E-2</v>
      </c>
      <c r="W68">
        <v>-2.911621979314738E-2</v>
      </c>
      <c r="X68">
        <v>-1.7058286821399871E-2</v>
      </c>
      <c r="Y68">
        <v>1.304184935043895E-2</v>
      </c>
      <c r="Z68">
        <v>1.5588035129792344E-2</v>
      </c>
      <c r="AA68">
        <v>7.4181236148731511E-3</v>
      </c>
      <c r="AB68">
        <v>-1.3503464860930903E-2</v>
      </c>
      <c r="AC68">
        <v>-7.2492260598073899E-2</v>
      </c>
      <c r="AD68">
        <v>-1.3572215E-2</v>
      </c>
      <c r="AE68">
        <v>3.2055913800000002E-2</v>
      </c>
      <c r="AF68">
        <v>-2.6093380297277591E-2</v>
      </c>
      <c r="AG68">
        <v>-9.9553546078884909E-3</v>
      </c>
      <c r="AH68">
        <v>-5.6694231296999999E-2</v>
      </c>
      <c r="AI68">
        <v>2.2022786367000002E-2</v>
      </c>
    </row>
    <row r="69" spans="1:35" x14ac:dyDescent="0.2">
      <c r="A69">
        <v>736329</v>
      </c>
      <c r="B69" s="2">
        <f t="shared" si="8"/>
        <v>42369</v>
      </c>
      <c r="C69">
        <v>6.269827156981278E-2</v>
      </c>
      <c r="D69">
        <v>-9.3610719125927222E-3</v>
      </c>
      <c r="E69">
        <v>-4.5019352825033387E-4</v>
      </c>
      <c r="F69">
        <v>-6.6186287264918446E-3</v>
      </c>
      <c r="G69">
        <v>1.5317500000000001E-3</v>
      </c>
      <c r="I69">
        <v>4.3988651612029306E-2</v>
      </c>
      <c r="J69">
        <v>-1.4389996854571895E-2</v>
      </c>
      <c r="K69">
        <v>-1.1939932139285502E-2</v>
      </c>
      <c r="L69">
        <v>-1.2818117478202485E-2</v>
      </c>
      <c r="M69">
        <v>1.5317500000000001E-3</v>
      </c>
      <c r="P69">
        <v>736329</v>
      </c>
      <c r="Q69" s="2">
        <v>42369</v>
      </c>
      <c r="R69" s="4">
        <v>6.1270000000000005E-3</v>
      </c>
      <c r="S69">
        <v>-9.3610719125927222E-3</v>
      </c>
      <c r="T69">
        <v>-6.3807496224347338E-3</v>
      </c>
      <c r="U69">
        <v>-4.2544711856231099E-3</v>
      </c>
      <c r="V69">
        <v>-2.0571688355969786E-2</v>
      </c>
      <c r="W69">
        <v>1.0501337910839625E-2</v>
      </c>
      <c r="X69">
        <v>1.2524047517751935E-2</v>
      </c>
      <c r="Y69">
        <v>-1.0245184763161275E-3</v>
      </c>
      <c r="Z69">
        <v>-1.3178888250686027E-2</v>
      </c>
      <c r="AA69">
        <v>-5.6524794524733801E-3</v>
      </c>
      <c r="AB69">
        <v>-2.0961469066998029E-2</v>
      </c>
      <c r="AC69">
        <v>6.269827156981278E-2</v>
      </c>
      <c r="AD69">
        <v>5.9559714999999997E-3</v>
      </c>
      <c r="AE69">
        <v>4.1863442700000003E-2</v>
      </c>
      <c r="AF69">
        <v>1.3077393698378792E-2</v>
      </c>
      <c r="AG69">
        <v>-6.5115891190887787E-3</v>
      </c>
      <c r="AH69">
        <v>2.7468947769999971E-3</v>
      </c>
      <c r="AI69">
        <v>4.7919622006999993E-2</v>
      </c>
    </row>
    <row r="70" spans="1:35" x14ac:dyDescent="0.2">
      <c r="A70">
        <v>736420</v>
      </c>
      <c r="B70" s="2">
        <f t="shared" si="8"/>
        <v>42460</v>
      </c>
      <c r="C70">
        <v>9.6817537595024206E-3</v>
      </c>
      <c r="D70">
        <v>3.2029674343821757E-2</v>
      </c>
      <c r="E70">
        <v>4.3109997072081768E-2</v>
      </c>
      <c r="F70">
        <v>2.297303953666326E-2</v>
      </c>
      <c r="G70">
        <v>1.5715000000000002E-3</v>
      </c>
      <c r="I70">
        <v>-9.0676161982810519E-3</v>
      </c>
      <c r="J70">
        <v>2.6960999401842583E-2</v>
      </c>
      <c r="K70">
        <v>3.1580508461046597E-2</v>
      </c>
      <c r="L70">
        <v>1.673380078495262E-2</v>
      </c>
      <c r="M70">
        <v>1.5715000000000002E-3</v>
      </c>
      <c r="P70">
        <v>736420</v>
      </c>
      <c r="Q70" s="2">
        <v>42460</v>
      </c>
      <c r="R70" s="4">
        <v>6.2860000000000008E-3</v>
      </c>
      <c r="S70">
        <v>3.2029674343821757E-2</v>
      </c>
      <c r="T70">
        <v>4.4575268138663526E-2</v>
      </c>
      <c r="U70">
        <v>2.9064290660326564E-2</v>
      </c>
      <c r="V70">
        <v>3.3536408471134482E-2</v>
      </c>
      <c r="W70">
        <v>5.9430427179615108E-2</v>
      </c>
      <c r="X70">
        <v>5.0408861977250918E-2</v>
      </c>
      <c r="Y70">
        <v>1.9765970113412967E-2</v>
      </c>
      <c r="Z70">
        <v>3.560226354082463E-2</v>
      </c>
      <c r="AA70">
        <v>1.3550884955752185E-2</v>
      </c>
      <c r="AB70">
        <v>1.5472065918044731E-2</v>
      </c>
      <c r="AC70">
        <v>9.6817537595024206E-3</v>
      </c>
      <c r="AD70">
        <v>-3.6415200000000003E-5</v>
      </c>
      <c r="AE70">
        <v>2.08458488E-2</v>
      </c>
      <c r="AF70">
        <v>-5.3031466520003789E-4</v>
      </c>
      <c r="AG70">
        <v>1.3807756516952117E-2</v>
      </c>
      <c r="AH70">
        <v>1.9577945902000002E-2</v>
      </c>
      <c r="AI70">
        <v>2.4707901949999889E-3</v>
      </c>
    </row>
    <row r="71" spans="1:35" x14ac:dyDescent="0.2">
      <c r="A71">
        <v>736511</v>
      </c>
      <c r="B71" s="2">
        <f t="shared" ref="B71:B99" si="9">A71-693960</f>
        <v>42551</v>
      </c>
      <c r="C71">
        <v>2.630571506699475E-2</v>
      </c>
      <c r="D71">
        <v>2.0972840990880481E-2</v>
      </c>
      <c r="E71">
        <v>4.366189257454281E-2</v>
      </c>
      <c r="F71">
        <v>1.4998941195642304E-2</v>
      </c>
      <c r="G71">
        <v>1.63525E-3</v>
      </c>
      <c r="I71">
        <v>7.4925951092112766E-3</v>
      </c>
      <c r="J71">
        <v>1.5840416048901306E-2</v>
      </c>
      <c r="K71">
        <v>3.2068653963507644E-2</v>
      </c>
      <c r="L71">
        <v>8.6959524439316656E-3</v>
      </c>
      <c r="M71">
        <v>1.63525E-3</v>
      </c>
      <c r="P71">
        <v>736511</v>
      </c>
      <c r="Q71" s="2">
        <v>42551</v>
      </c>
      <c r="R71" s="4">
        <v>6.5409999999999999E-3</v>
      </c>
      <c r="S71">
        <v>2.0972840990880481E-2</v>
      </c>
      <c r="T71">
        <v>1.707676221190102E-2</v>
      </c>
      <c r="U71">
        <v>2.3593793761259918E-2</v>
      </c>
      <c r="V71">
        <v>5.5203128801062817E-2</v>
      </c>
      <c r="W71">
        <v>4.569784715508507E-2</v>
      </c>
      <c r="X71">
        <v>5.0152800580763435E-2</v>
      </c>
      <c r="Y71">
        <v>1.1062598116169386E-2</v>
      </c>
      <c r="Z71">
        <v>2.2231936551551978E-2</v>
      </c>
      <c r="AA71">
        <v>1.170228891920555E-2</v>
      </c>
      <c r="AB71">
        <v>2.9161961606710696E-2</v>
      </c>
      <c r="AC71">
        <v>2.630571506699475E-2</v>
      </c>
      <c r="AD71">
        <v>4.0770117699999997E-2</v>
      </c>
      <c r="AE71">
        <v>2.4863392299999999E-2</v>
      </c>
      <c r="AF71">
        <v>1.6441137696422192E-2</v>
      </c>
      <c r="AG71">
        <v>1.1520427494362263E-2</v>
      </c>
      <c r="AH71">
        <v>6.0160205201999994E-2</v>
      </c>
      <c r="AI71">
        <v>1.994305097299999E-2</v>
      </c>
    </row>
    <row r="72" spans="1:35" x14ac:dyDescent="0.2">
      <c r="A72">
        <v>736603</v>
      </c>
      <c r="B72" s="2">
        <f t="shared" si="9"/>
        <v>42643</v>
      </c>
      <c r="C72">
        <v>4.3977018398845047E-2</v>
      </c>
      <c r="D72">
        <v>-2.7886099783157592E-3</v>
      </c>
      <c r="E72">
        <v>3.2158383613727637E-2</v>
      </c>
      <c r="F72">
        <v>4.9686659310027954E-3</v>
      </c>
      <c r="G72">
        <v>2.1341750000000003E-3</v>
      </c>
      <c r="I72">
        <v>2.4664973441061572E-2</v>
      </c>
      <c r="J72">
        <v>-8.4199599202949317E-3</v>
      </c>
      <c r="K72">
        <v>2.0066220002692467E-2</v>
      </c>
      <c r="L72">
        <v>-1.8332478207078451E-3</v>
      </c>
      <c r="M72">
        <v>2.1341750000000003E-3</v>
      </c>
      <c r="P72">
        <v>736603</v>
      </c>
      <c r="Q72" s="2">
        <v>42643</v>
      </c>
      <c r="R72" s="4">
        <v>8.5367000000000012E-3</v>
      </c>
      <c r="S72">
        <v>-2.7886099783157592E-3</v>
      </c>
      <c r="T72">
        <v>9.6411626498578151E-3</v>
      </c>
      <c r="U72">
        <v>9.3750199285398406E-3</v>
      </c>
      <c r="V72">
        <v>5.5507279788611363E-2</v>
      </c>
      <c r="W72">
        <v>2.3338670034049658E-2</v>
      </c>
      <c r="X72">
        <v>4.0412564703709686E-2</v>
      </c>
      <c r="Y72">
        <v>5.9632693660689462E-3</v>
      </c>
      <c r="Z72">
        <v>6.9949294397948503E-3</v>
      </c>
      <c r="AA72">
        <v>1.9477989871445889E-3</v>
      </c>
      <c r="AB72">
        <v>3.0749517028421991E-2</v>
      </c>
      <c r="AC72">
        <v>4.3977018398845047E-2</v>
      </c>
      <c r="AD72">
        <v>4.0187635800000003E-2</v>
      </c>
      <c r="AE72">
        <v>1.7390446899999999E-2</v>
      </c>
      <c r="AF72">
        <v>2.815984749098055E-2</v>
      </c>
      <c r="AG72">
        <v>-1.4368750572603084E-2</v>
      </c>
      <c r="AH72">
        <v>4.1458565622000003E-2</v>
      </c>
      <c r="AI72">
        <v>1.7239498983999995E-2</v>
      </c>
    </row>
    <row r="73" spans="1:35" x14ac:dyDescent="0.2">
      <c r="A73">
        <v>736694</v>
      </c>
      <c r="B73" s="2">
        <f t="shared" si="9"/>
        <v>42734</v>
      </c>
      <c r="C73">
        <v>4.2093572895785414E-2</v>
      </c>
      <c r="D73">
        <v>-3.8411461246258605E-2</v>
      </c>
      <c r="E73">
        <v>-2.4293856092661201E-2</v>
      </c>
      <c r="F73">
        <v>-1.8585158486669678E-2</v>
      </c>
      <c r="G73">
        <v>2.4947250000000002E-3</v>
      </c>
      <c r="I73">
        <v>2.2420977938001938E-2</v>
      </c>
      <c r="J73">
        <v>-4.4403361188237782E-2</v>
      </c>
      <c r="K73">
        <v>-3.6746569703696372E-2</v>
      </c>
      <c r="L73">
        <v>-2.5747622238380317E-2</v>
      </c>
      <c r="M73">
        <v>2.4947250000000002E-3</v>
      </c>
      <c r="P73">
        <v>736694</v>
      </c>
      <c r="Q73" s="2">
        <v>42734</v>
      </c>
      <c r="R73" s="4">
        <v>9.9789000000000006E-3</v>
      </c>
      <c r="S73">
        <v>-3.8411461246258605E-2</v>
      </c>
      <c r="T73">
        <v>-2.4073818510168321E-2</v>
      </c>
      <c r="U73">
        <v>-1.9550728709067766E-2</v>
      </c>
      <c r="V73">
        <v>1.7523815924326502E-2</v>
      </c>
      <c r="W73">
        <v>-5.4933674143933686E-2</v>
      </c>
      <c r="X73">
        <v>-4.0214837441969853E-2</v>
      </c>
      <c r="Y73">
        <v>-1.9727576160984639E-2</v>
      </c>
      <c r="Z73">
        <v>-2.9059362392695798E-2</v>
      </c>
      <c r="AA73">
        <v>-6.9685369063285929E-3</v>
      </c>
      <c r="AB73">
        <v>2.2612702347189373E-2</v>
      </c>
      <c r="AC73">
        <v>4.2093572895785414E-2</v>
      </c>
      <c r="AD73">
        <v>4.0187635800000003E-2</v>
      </c>
      <c r="AE73">
        <v>1.7390446899999999E-2</v>
      </c>
      <c r="AF73">
        <v>1.0995762913462714E-2</v>
      </c>
      <c r="AG73">
        <v>-1.2169616065814926E-2</v>
      </c>
      <c r="AH73">
        <v>4.1458565622000003E-2</v>
      </c>
      <c r="AI73">
        <v>1.7239498983999995E-2</v>
      </c>
    </row>
    <row r="74" spans="1:35" x14ac:dyDescent="0.2">
      <c r="A74">
        <v>736785</v>
      </c>
      <c r="B74" s="2">
        <f t="shared" si="9"/>
        <v>42825</v>
      </c>
      <c r="C74">
        <v>5.7432843618919094E-2</v>
      </c>
      <c r="D74">
        <v>6.7468220141821966E-3</v>
      </c>
      <c r="E74">
        <v>2.8917508671015613E-2</v>
      </c>
      <c r="F74">
        <v>6.4765000770613161E-3</v>
      </c>
      <c r="G74">
        <v>2.8739E-3</v>
      </c>
      <c r="I74">
        <v>3.7381073661135619E-2</v>
      </c>
      <c r="J74">
        <v>3.7574707220302357E-4</v>
      </c>
      <c r="K74">
        <v>1.6085620059980446E-2</v>
      </c>
      <c r="L74">
        <v>-1.065138674649324E-3</v>
      </c>
      <c r="M74">
        <v>2.8739E-3</v>
      </c>
      <c r="P74">
        <v>736785</v>
      </c>
      <c r="Q74" s="2">
        <v>42825</v>
      </c>
      <c r="R74" s="4">
        <v>1.14956E-2</v>
      </c>
      <c r="S74">
        <v>6.7468220141821966E-3</v>
      </c>
      <c r="T74">
        <v>1.2614564546149065E-2</v>
      </c>
      <c r="U74">
        <v>1.1863029203901698E-2</v>
      </c>
      <c r="V74">
        <v>2.6980614907037515E-2</v>
      </c>
      <c r="W74">
        <v>3.8168294900790434E-2</v>
      </c>
      <c r="X74">
        <v>3.8658095672332804E-2</v>
      </c>
      <c r="Y74">
        <v>4.7285395160259203E-3</v>
      </c>
      <c r="Z74">
        <v>9.3098815958012615E-3</v>
      </c>
      <c r="AA74">
        <v>5.3910791193567675E-3</v>
      </c>
      <c r="AB74">
        <v>1.1454127724119356E-2</v>
      </c>
      <c r="AC74">
        <v>5.7432843618919094E-2</v>
      </c>
      <c r="AD74">
        <v>3.9799616599999997E-2</v>
      </c>
      <c r="AE74">
        <v>1.74767992E-2</v>
      </c>
      <c r="AF74">
        <v>2.7958397424175718E-2</v>
      </c>
      <c r="AG74">
        <v>-6.8993125019916829E-3</v>
      </c>
      <c r="AH74">
        <v>3.7938636194999986E-2</v>
      </c>
      <c r="AI74">
        <v>2.906863261000002E-3</v>
      </c>
    </row>
    <row r="75" spans="1:35" x14ac:dyDescent="0.2">
      <c r="A75">
        <v>736876</v>
      </c>
      <c r="B75" s="2">
        <f t="shared" si="9"/>
        <v>42916</v>
      </c>
      <c r="C75">
        <v>3.0154964767973969E-2</v>
      </c>
      <c r="D75">
        <v>1.1878021500605573E-2</v>
      </c>
      <c r="E75">
        <v>1.9800877696422248E-2</v>
      </c>
      <c r="F75">
        <v>9.3967475388997048E-3</v>
      </c>
      <c r="G75">
        <v>3.247925E-3</v>
      </c>
      <c r="I75">
        <v>9.7291698101904973E-3</v>
      </c>
      <c r="J75">
        <v>5.1329215586263998E-3</v>
      </c>
      <c r="K75">
        <v>6.5949640853870811E-3</v>
      </c>
      <c r="L75">
        <v>1.4810837871890642E-3</v>
      </c>
      <c r="M75">
        <v>3.247925E-3</v>
      </c>
      <c r="P75">
        <v>736876</v>
      </c>
      <c r="Q75" s="2">
        <v>42916</v>
      </c>
      <c r="R75" s="4">
        <v>1.29917E-2</v>
      </c>
      <c r="S75">
        <v>1.1878021500605573E-2</v>
      </c>
      <c r="T75">
        <v>-4.0494248046312187E-3</v>
      </c>
      <c r="U75">
        <v>1.5634509814181019E-2</v>
      </c>
      <c r="V75">
        <v>2.1689497716895101E-2</v>
      </c>
      <c r="W75">
        <v>1.947176930332839E-2</v>
      </c>
      <c r="X75">
        <v>2.2407733951284481E-2</v>
      </c>
      <c r="Y75">
        <v>8.7024657802590166E-3</v>
      </c>
      <c r="Z75">
        <v>1.3526480329340451E-2</v>
      </c>
      <c r="AA75">
        <v>5.9612965070996449E-3</v>
      </c>
      <c r="AB75">
        <v>7.6047444195730396E-3</v>
      </c>
      <c r="AC75">
        <v>3.0154964767973969E-2</v>
      </c>
      <c r="AD75">
        <v>3.6734535999999998E-2</v>
      </c>
      <c r="AE75">
        <v>2.8769291799999999E-2</v>
      </c>
      <c r="AF75">
        <v>1.2205979362475139E-2</v>
      </c>
      <c r="AG75">
        <v>-7.590458428947078E-3</v>
      </c>
      <c r="AH75">
        <v>3.3430087045000001E-2</v>
      </c>
      <c r="AI75">
        <v>3.6186389130999995E-2</v>
      </c>
    </row>
    <row r="76" spans="1:35" x14ac:dyDescent="0.2">
      <c r="A76">
        <v>736967</v>
      </c>
      <c r="B76" s="2">
        <f t="shared" si="9"/>
        <v>43007</v>
      </c>
      <c r="C76">
        <v>4.5713125576540836E-2</v>
      </c>
      <c r="D76">
        <v>3.8321701319106172E-3</v>
      </c>
      <c r="E76">
        <v>2.018711462714573E-2</v>
      </c>
      <c r="F76">
        <v>7.254168216318968E-3</v>
      </c>
      <c r="G76">
        <v>3.3347250000000002E-3</v>
      </c>
      <c r="I76">
        <v>2.5200530618757367E-2</v>
      </c>
      <c r="J76">
        <v>-2.9997298100685561E-3</v>
      </c>
      <c r="K76">
        <v>6.8944010161105622E-3</v>
      </c>
      <c r="L76">
        <v>-7.4829553539167235E-4</v>
      </c>
      <c r="M76">
        <v>3.3347250000000002E-3</v>
      </c>
      <c r="P76">
        <v>736967</v>
      </c>
      <c r="Q76" s="2">
        <v>43007</v>
      </c>
      <c r="R76" s="4">
        <v>1.3338900000000001E-2</v>
      </c>
      <c r="S76">
        <v>3.8321701319106172E-3</v>
      </c>
      <c r="T76">
        <v>8.6382061304599578E-3</v>
      </c>
      <c r="U76">
        <v>1.0773874502167935E-2</v>
      </c>
      <c r="V76">
        <v>1.9749783617908578E-2</v>
      </c>
      <c r="W76">
        <v>2.3880333972198242E-2</v>
      </c>
      <c r="X76">
        <v>2.6344466416308165E-2</v>
      </c>
      <c r="Y76">
        <v>9.5935369856097186E-3</v>
      </c>
      <c r="Z76">
        <v>7.9403860249207536E-3</v>
      </c>
      <c r="AA76">
        <v>4.2285816384264319E-3</v>
      </c>
      <c r="AB76">
        <v>1.0370764875827998E-2</v>
      </c>
      <c r="AC76">
        <v>4.5713125576540836E-2</v>
      </c>
      <c r="AD76">
        <v>3.6734535999999998E-2</v>
      </c>
      <c r="AE76">
        <v>2.8769291799999999E-2</v>
      </c>
      <c r="AF76">
        <v>2.5479796233994545E-2</v>
      </c>
      <c r="AG76">
        <v>6.7772858453570839E-3</v>
      </c>
      <c r="AH76">
        <v>3.3430087045000001E-2</v>
      </c>
      <c r="AI76">
        <v>3.6186389130999995E-2</v>
      </c>
    </row>
    <row r="77" spans="1:35" x14ac:dyDescent="0.2">
      <c r="A77">
        <v>737058</v>
      </c>
      <c r="B77" s="2">
        <f t="shared" si="9"/>
        <v>43098</v>
      </c>
      <c r="C77">
        <v>6.3373344521872266E-2</v>
      </c>
      <c r="D77">
        <v>4.959617790922799E-4</v>
      </c>
      <c r="E77">
        <v>7.118927935969202E-3</v>
      </c>
      <c r="F77">
        <v>1.7751623580096743E-3</v>
      </c>
      <c r="G77">
        <v>4.2357000000000002E-3</v>
      </c>
      <c r="I77">
        <v>4.1959774564088795E-2</v>
      </c>
      <c r="J77">
        <v>-7.2369131628868934E-3</v>
      </c>
      <c r="K77">
        <v>-7.0747606750659661E-3</v>
      </c>
      <c r="L77">
        <v>-7.1282763937009662E-3</v>
      </c>
      <c r="M77">
        <v>4.2357000000000002E-3</v>
      </c>
      <c r="P77">
        <v>737058</v>
      </c>
      <c r="Q77" s="2">
        <v>43098</v>
      </c>
      <c r="R77" s="4">
        <v>1.6942800000000001E-2</v>
      </c>
      <c r="S77">
        <v>4.959617790922799E-4</v>
      </c>
      <c r="T77">
        <v>1.2626034920895091E-2</v>
      </c>
      <c r="U77">
        <v>1.9557512563178059E-3</v>
      </c>
      <c r="V77">
        <v>4.7222222222220722E-3</v>
      </c>
      <c r="W77">
        <v>1.0198592852378674E-2</v>
      </c>
      <c r="X77">
        <v>1.1599145412958256E-2</v>
      </c>
      <c r="Y77">
        <v>1.5051839883049034E-3</v>
      </c>
      <c r="Z77">
        <v>3.938916494970135E-3</v>
      </c>
      <c r="AA77">
        <v>-1.186134092460156E-4</v>
      </c>
      <c r="AB77">
        <v>1.113802851479706E-2</v>
      </c>
      <c r="AC77">
        <v>6.3373344521872266E-2</v>
      </c>
      <c r="AD77">
        <v>4.04593626E-2</v>
      </c>
      <c r="AE77">
        <v>1.8515640100000001E-2</v>
      </c>
      <c r="AF77">
        <v>2.7546710305795807E-2</v>
      </c>
      <c r="AG77">
        <v>3.2674404370962293E-2</v>
      </c>
      <c r="AH77">
        <v>4.2628701870000008E-2</v>
      </c>
      <c r="AI77">
        <v>1.1877990065000003E-2</v>
      </c>
    </row>
    <row r="78" spans="1:35" x14ac:dyDescent="0.2">
      <c r="A78">
        <v>737149</v>
      </c>
      <c r="B78" s="2">
        <f t="shared" si="9"/>
        <v>43189</v>
      </c>
      <c r="C78">
        <v>-6.4453833410123007E-3</v>
      </c>
      <c r="D78">
        <v>-1.1783485837987495E-2</v>
      </c>
      <c r="E78">
        <v>-1.71530057293518E-2</v>
      </c>
      <c r="F78">
        <v>-9.2563954034707487E-3</v>
      </c>
      <c r="G78">
        <v>5.7793749999999998E-3</v>
      </c>
      <c r="I78">
        <v>-2.9402628298795773E-2</v>
      </c>
      <c r="J78">
        <v>-2.1060035779966669E-2</v>
      </c>
      <c r="K78">
        <v>-3.2890369340386971E-2</v>
      </c>
      <c r="L78">
        <v>-1.970350915518139E-2</v>
      </c>
      <c r="M78">
        <v>5.7793749999999998E-3</v>
      </c>
      <c r="P78">
        <v>737149</v>
      </c>
      <c r="Q78" s="2">
        <v>43189</v>
      </c>
      <c r="R78" s="4">
        <v>2.3117499999999999E-2</v>
      </c>
      <c r="S78">
        <v>-1.1783485837987495E-2</v>
      </c>
      <c r="T78">
        <v>-7.8965138768304355E-3</v>
      </c>
      <c r="U78">
        <v>-1.5844491370915148E-2</v>
      </c>
      <c r="V78">
        <v>-8.5706386508155319E-3</v>
      </c>
      <c r="W78">
        <v>-2.6751293902153361E-2</v>
      </c>
      <c r="X78">
        <v>-1.7445598993523159E-2</v>
      </c>
      <c r="Y78">
        <v>-1.1932142839993998E-2</v>
      </c>
      <c r="Z78">
        <v>-1.1981650268606203E-2</v>
      </c>
      <c r="AA78">
        <v>-3.8553931018120435E-3</v>
      </c>
      <c r="AB78">
        <v>1.4478833409506509E-2</v>
      </c>
      <c r="AC78">
        <v>-6.4453833410123007E-3</v>
      </c>
      <c r="AD78">
        <v>5.5987458900000002E-2</v>
      </c>
      <c r="AE78">
        <v>4.3303914200000002E-2</v>
      </c>
      <c r="AF78">
        <v>6.2951711744974048E-5</v>
      </c>
      <c r="AG78">
        <v>-1.387826851603533E-2</v>
      </c>
      <c r="AH78">
        <v>6.7530680241999999E-2</v>
      </c>
      <c r="AI78">
        <v>7.0285825519000006E-2</v>
      </c>
    </row>
    <row r="79" spans="1:35" x14ac:dyDescent="0.2">
      <c r="A79">
        <v>737240</v>
      </c>
      <c r="B79" s="2">
        <f t="shared" si="9"/>
        <v>43280</v>
      </c>
      <c r="C79">
        <v>3.8888642227451475E-2</v>
      </c>
      <c r="D79">
        <v>1.0124578334325118E-3</v>
      </c>
      <c r="E79">
        <v>-1.0351968985141083E-2</v>
      </c>
      <c r="F79">
        <v>2.2659596696321671E-3</v>
      </c>
      <c r="G79">
        <v>5.8393749999999999E-3</v>
      </c>
      <c r="I79">
        <v>1.5871397269668002E-2</v>
      </c>
      <c r="J79">
        <v>-8.3240921085466612E-3</v>
      </c>
      <c r="K79">
        <v>-2.6149332596176252E-2</v>
      </c>
      <c r="L79">
        <v>-8.241154082078473E-3</v>
      </c>
      <c r="M79">
        <v>5.8393749999999999E-3</v>
      </c>
      <c r="P79">
        <v>737240</v>
      </c>
      <c r="Q79" s="2">
        <v>43280</v>
      </c>
      <c r="R79" s="4">
        <v>2.33575E-2</v>
      </c>
      <c r="S79">
        <v>1.0124578334325118E-3</v>
      </c>
      <c r="T79">
        <v>7.7132167074929203E-3</v>
      </c>
      <c r="U79">
        <v>-1.5434780664515535E-3</v>
      </c>
      <c r="V79">
        <v>1.0255933568817044E-2</v>
      </c>
      <c r="W79">
        <v>-1.4684319947477764E-2</v>
      </c>
      <c r="X79">
        <v>-3.5436011495452058E-2</v>
      </c>
      <c r="Y79">
        <v>2.4152476479277762E-3</v>
      </c>
      <c r="Z79">
        <v>2.4437181171155231E-4</v>
      </c>
      <c r="AA79">
        <v>4.1382595492571728E-3</v>
      </c>
      <c r="AB79">
        <v>6.9865091739729213E-3</v>
      </c>
      <c r="AC79">
        <v>3.8888642227451475E-2</v>
      </c>
      <c r="AD79">
        <v>2.86799467E-2</v>
      </c>
      <c r="AE79">
        <v>2.6818080300000002E-2</v>
      </c>
      <c r="AF79">
        <v>5.4327177465851584E-3</v>
      </c>
      <c r="AG79">
        <v>4.8408263485491543E-3</v>
      </c>
      <c r="AH79">
        <v>1.1679136859999995E-2</v>
      </c>
      <c r="AI79">
        <v>1.6734205618E-2</v>
      </c>
    </row>
    <row r="80" spans="1:35" x14ac:dyDescent="0.2">
      <c r="A80">
        <v>737331</v>
      </c>
      <c r="B80" s="2">
        <f t="shared" si="9"/>
        <v>43371</v>
      </c>
      <c r="C80">
        <v>7.1239137660857654E-2</v>
      </c>
      <c r="D80">
        <v>-5.9352774316938639E-3</v>
      </c>
      <c r="E80">
        <v>1.9110251565162412E-2</v>
      </c>
      <c r="F80">
        <v>3.0901159033474381E-3</v>
      </c>
      <c r="G80">
        <v>5.9959499999999999E-3</v>
      </c>
      <c r="I80">
        <v>4.8065317703074179E-2</v>
      </c>
      <c r="J80">
        <v>-1.5428402373673038E-2</v>
      </c>
      <c r="K80">
        <v>3.1563129541272439E-3</v>
      </c>
      <c r="L80">
        <v>-7.5735728483632015E-3</v>
      </c>
      <c r="M80">
        <v>5.9959499999999999E-3</v>
      </c>
      <c r="P80">
        <v>737331</v>
      </c>
      <c r="Q80" s="2">
        <v>43371</v>
      </c>
      <c r="R80" s="4">
        <v>2.39838E-2</v>
      </c>
      <c r="S80">
        <v>-5.9352774316938639E-3</v>
      </c>
      <c r="T80">
        <v>-8.1990497982118438E-3</v>
      </c>
      <c r="U80">
        <v>8.1925277336934998E-3</v>
      </c>
      <c r="V80">
        <v>2.4045391811071903E-2</v>
      </c>
      <c r="W80">
        <v>2.1166488983653142E-2</v>
      </c>
      <c r="X80">
        <v>2.3036597732231101E-2</v>
      </c>
      <c r="Y80">
        <v>-1.1780504477075793E-3</v>
      </c>
      <c r="Z80">
        <v>5.4970224461750039E-3</v>
      </c>
      <c r="AA80">
        <v>4.9513757115748902E-3</v>
      </c>
      <c r="AB80">
        <v>1.8384922965075656E-2</v>
      </c>
      <c r="AC80">
        <v>7.1239137660857654E-2</v>
      </c>
      <c r="AD80">
        <v>5.3794792899999999E-2</v>
      </c>
      <c r="AE80">
        <v>3.2566018100000003E-2</v>
      </c>
      <c r="AF80">
        <v>4.8083871443791448E-3</v>
      </c>
      <c r="AG80">
        <v>5.9017713610998394E-3</v>
      </c>
      <c r="AH80">
        <v>5.9711104724999992E-2</v>
      </c>
      <c r="AI80">
        <v>2.5910839671000011E-2</v>
      </c>
    </row>
    <row r="81" spans="1:35" x14ac:dyDescent="0.2">
      <c r="A81">
        <v>737425</v>
      </c>
      <c r="B81" s="2">
        <f t="shared" si="9"/>
        <v>43465</v>
      </c>
      <c r="C81">
        <v>-0.1430213138970865</v>
      </c>
      <c r="D81">
        <v>2.5658813626735499E-2</v>
      </c>
      <c r="E81">
        <v>-1.5294257407553302E-2</v>
      </c>
      <c r="F81">
        <v>1.6611634342670472E-2</v>
      </c>
      <c r="G81">
        <v>7.0190750000000005E-3</v>
      </c>
      <c r="I81">
        <v>-0.16721825885486999</v>
      </c>
      <c r="J81">
        <v>1.5142563684756326E-2</v>
      </c>
      <c r="K81">
        <v>-3.227132101858847E-2</v>
      </c>
      <c r="L81">
        <v>4.9248205909598322E-3</v>
      </c>
      <c r="M81">
        <v>7.0190750000000005E-3</v>
      </c>
      <c r="P81">
        <v>737425</v>
      </c>
      <c r="Q81" s="2">
        <v>43465</v>
      </c>
      <c r="R81" s="4">
        <v>2.8076300000000002E-2</v>
      </c>
      <c r="S81">
        <v>2.5658813626735499E-2</v>
      </c>
      <c r="T81">
        <v>-4.2123345919653499E-3</v>
      </c>
      <c r="U81">
        <v>5.497979211358861E-3</v>
      </c>
      <c r="V81">
        <v>-4.535925005241237E-2</v>
      </c>
      <c r="W81">
        <v>-8.7652521913129666E-3</v>
      </c>
      <c r="X81">
        <v>-1.2550506597846733E-2</v>
      </c>
      <c r="Y81">
        <v>2.0831917681890744E-2</v>
      </c>
      <c r="Z81">
        <v>1.6552771450265791E-2</v>
      </c>
      <c r="AA81">
        <v>1.2450213895854878E-2</v>
      </c>
      <c r="AB81">
        <v>-3.4540986532310081E-2</v>
      </c>
      <c r="AC81">
        <v>-0.1430213138970865</v>
      </c>
      <c r="AD81">
        <v>-1.8699059399999999E-2</v>
      </c>
      <c r="AE81">
        <v>2.2207787999999999E-2</v>
      </c>
      <c r="AF81">
        <v>-4.2949038514447424E-2</v>
      </c>
      <c r="AG81">
        <v>-3.4912973830650507E-2</v>
      </c>
      <c r="AH81">
        <v>-6.7282700376999988E-2</v>
      </c>
      <c r="AI81">
        <v>4.2059688999999956E-3</v>
      </c>
    </row>
    <row r="82" spans="1:35" x14ac:dyDescent="0.2">
      <c r="A82">
        <v>737513</v>
      </c>
      <c r="B82" s="2">
        <f t="shared" si="9"/>
        <v>43553</v>
      </c>
      <c r="C82">
        <v>0.14043379701051717</v>
      </c>
      <c r="D82">
        <v>2.1111962844388321E-2</v>
      </c>
      <c r="E82">
        <v>6.136171163797019E-2</v>
      </c>
      <c r="F82">
        <v>2.2904171974711545E-2</v>
      </c>
      <c r="G82">
        <v>6.4993749999999991E-3</v>
      </c>
      <c r="I82">
        <v>0.11675655205273369</v>
      </c>
      <c r="J82">
        <v>1.1115412902409149E-2</v>
      </c>
      <c r="K82">
        <v>4.490434802693502E-2</v>
      </c>
      <c r="L82">
        <v>1.1737058223000908E-2</v>
      </c>
      <c r="M82">
        <v>6.4993749999999991E-3</v>
      </c>
      <c r="P82">
        <v>737513</v>
      </c>
      <c r="Q82" s="2">
        <v>43553</v>
      </c>
      <c r="R82" s="4">
        <v>2.5997499999999996E-2</v>
      </c>
      <c r="S82">
        <v>2.1111962844388321E-2</v>
      </c>
      <c r="T82">
        <v>3.1947001298458622E-2</v>
      </c>
      <c r="U82">
        <v>4.0078836279330177E-2</v>
      </c>
      <c r="V82">
        <v>7.2581530690677409E-2</v>
      </c>
      <c r="W82">
        <v>6.3259753368148486E-2</v>
      </c>
      <c r="X82">
        <v>6.9526726213724688E-2</v>
      </c>
      <c r="Y82">
        <v>2.1671532222021561E-2</v>
      </c>
      <c r="Z82">
        <v>3.2237824917836999E-2</v>
      </c>
      <c r="AA82">
        <v>1.4803158784276071E-2</v>
      </c>
      <c r="AB82">
        <v>3.9971560611446799E-2</v>
      </c>
      <c r="AC82">
        <v>0.14043379701051717</v>
      </c>
      <c r="AD82">
        <v>-1.8699059399999999E-2</v>
      </c>
      <c r="AE82">
        <v>2.2207787999999999E-2</v>
      </c>
      <c r="AF82">
        <v>4.5283339523162658E-2</v>
      </c>
      <c r="AG82">
        <v>1.1831155581685904E-2</v>
      </c>
      <c r="AH82">
        <v>-6.7282700376999988E-2</v>
      </c>
      <c r="AI82">
        <v>4.2059688999999956E-3</v>
      </c>
    </row>
    <row r="83" spans="1:35" x14ac:dyDescent="0.2">
      <c r="A83">
        <v>737604</v>
      </c>
      <c r="B83" s="2">
        <f t="shared" si="9"/>
        <v>43644</v>
      </c>
      <c r="C83">
        <v>4.0950890680454988E-2</v>
      </c>
      <c r="D83">
        <v>3.0081430060233449E-2</v>
      </c>
      <c r="E83">
        <v>3.7047709454332667E-2</v>
      </c>
      <c r="F83">
        <v>2.2981214487073871E-2</v>
      </c>
      <c r="G83">
        <v>5.7996999999999996E-3</v>
      </c>
      <c r="I83">
        <v>1.7973320722671517E-2</v>
      </c>
      <c r="J83">
        <v>2.0784555118254278E-2</v>
      </c>
      <c r="K83">
        <v>2.1290020843297501E-2</v>
      </c>
      <c r="L83">
        <v>1.251377573536323E-2</v>
      </c>
      <c r="M83">
        <v>5.7996999999999996E-3</v>
      </c>
      <c r="P83">
        <v>737604</v>
      </c>
      <c r="Q83" s="2">
        <v>43644</v>
      </c>
      <c r="R83" s="4">
        <v>2.3198799999999999E-2</v>
      </c>
      <c r="S83">
        <v>3.0081430060233449E-2</v>
      </c>
      <c r="T83">
        <v>2.8646705746356416E-2</v>
      </c>
      <c r="U83">
        <v>3.2843564760287824E-2</v>
      </c>
      <c r="V83">
        <v>2.499414999414995E-2</v>
      </c>
      <c r="W83">
        <v>4.959035846214177E-2</v>
      </c>
      <c r="X83">
        <v>4.0762764600751122E-2</v>
      </c>
      <c r="Y83">
        <v>1.961094564408028E-2</v>
      </c>
      <c r="Z83">
        <v>3.2649280731714247E-2</v>
      </c>
      <c r="AA83">
        <v>1.6683417085427088E-2</v>
      </c>
      <c r="AB83">
        <v>1.6766708597681035E-2</v>
      </c>
      <c r="AC83">
        <v>4.0950890680454988E-2</v>
      </c>
      <c r="AD83">
        <v>4.9782282800000001E-2</v>
      </c>
      <c r="AE83">
        <v>1.5487937300000001E-2</v>
      </c>
      <c r="AF83">
        <v>2.3065821198278824E-2</v>
      </c>
      <c r="AG83">
        <v>1.2628997834741936E-2</v>
      </c>
      <c r="AH83">
        <v>8.4599195820999992E-2</v>
      </c>
      <c r="AI83">
        <v>1.2598648542000001E-2</v>
      </c>
    </row>
    <row r="84" spans="1:35" x14ac:dyDescent="0.2">
      <c r="A84">
        <v>737698</v>
      </c>
      <c r="B84" s="2">
        <f t="shared" si="9"/>
        <v>43738</v>
      </c>
      <c r="C84">
        <v>1.1624955747392418E-2</v>
      </c>
      <c r="D84">
        <v>2.4041429453323326E-2</v>
      </c>
      <c r="E84">
        <v>2.1727925291216921E-2</v>
      </c>
      <c r="F84">
        <v>1.3939851614387525E-2</v>
      </c>
      <c r="G84">
        <v>5.2128249999999999E-3</v>
      </c>
      <c r="I84">
        <v>-1.0765739210391055E-2</v>
      </c>
      <c r="J84">
        <v>1.5331429511344152E-2</v>
      </c>
      <c r="K84">
        <v>6.5571116801817521E-3</v>
      </c>
      <c r="L84">
        <v>4.0592878626768856E-3</v>
      </c>
      <c r="M84">
        <v>5.2128249999999999E-3</v>
      </c>
      <c r="P84">
        <v>737698</v>
      </c>
      <c r="Q84" s="2">
        <v>43738</v>
      </c>
      <c r="R84" s="4">
        <v>2.08513E-2</v>
      </c>
      <c r="S84">
        <v>2.4041429453323326E-2</v>
      </c>
      <c r="T84">
        <v>1.3451233566102339E-2</v>
      </c>
      <c r="U84">
        <v>1.8059364951920509E-2</v>
      </c>
      <c r="V84">
        <v>1.3340943140472294E-2</v>
      </c>
      <c r="W84">
        <v>4.046401887534401E-2</v>
      </c>
      <c r="X84">
        <v>1.5047374197130869E-2</v>
      </c>
      <c r="Y84">
        <v>1.3720138388089165E-2</v>
      </c>
      <c r="Z84">
        <v>1.8863693696218986E-2</v>
      </c>
      <c r="AA84">
        <v>9.2357227588544255E-3</v>
      </c>
      <c r="AB84">
        <v>9.937838083167394E-3</v>
      </c>
      <c r="AC84">
        <v>1.1624955747392418E-2</v>
      </c>
      <c r="AD84">
        <v>1.29041873E-2</v>
      </c>
      <c r="AE84">
        <v>1.7981794299999999E-2</v>
      </c>
      <c r="AF84">
        <v>8.7504437485019793E-4</v>
      </c>
      <c r="AG84">
        <v>-1.4305083141702424E-3</v>
      </c>
      <c r="AH84">
        <v>-2.7689185495999996E-2</v>
      </c>
      <c r="AI84">
        <v>6.2414179520000057E-3</v>
      </c>
    </row>
    <row r="85" spans="1:35" x14ac:dyDescent="0.2">
      <c r="A85">
        <v>737790</v>
      </c>
      <c r="B85" s="2">
        <f t="shared" si="9"/>
        <v>43830</v>
      </c>
      <c r="C85">
        <v>9.0973697556899769E-2</v>
      </c>
      <c r="D85">
        <v>-7.9289326501220669E-3</v>
      </c>
      <c r="E85">
        <v>1.706841394650549E-2</v>
      </c>
      <c r="F85">
        <v>2.6347378383723141E-3</v>
      </c>
      <c r="G85">
        <v>4.7709499999999995E-3</v>
      </c>
      <c r="I85">
        <v>6.9024877599116297E-2</v>
      </c>
      <c r="J85">
        <v>-1.619705759210124E-2</v>
      </c>
      <c r="K85">
        <v>2.3394753354703222E-3</v>
      </c>
      <c r="L85">
        <v>-6.8039509133383256E-3</v>
      </c>
      <c r="M85">
        <v>4.7709499999999995E-3</v>
      </c>
      <c r="P85">
        <v>737790</v>
      </c>
      <c r="Q85" s="2">
        <v>43830</v>
      </c>
      <c r="R85" s="4">
        <v>1.9083799999999998E-2</v>
      </c>
      <c r="S85">
        <v>-7.9289326501220669E-3</v>
      </c>
      <c r="T85">
        <v>7.8928708539485193E-3</v>
      </c>
      <c r="U85">
        <v>1.1186722941072924E-2</v>
      </c>
      <c r="V85">
        <v>2.6147564066460127E-2</v>
      </c>
      <c r="W85">
        <v>1.281227559620568E-2</v>
      </c>
      <c r="X85">
        <v>1.8127093182283227E-2</v>
      </c>
      <c r="Y85">
        <v>7.1229176046827547E-3</v>
      </c>
      <c r="Z85">
        <v>-3.1086657496560699E-3</v>
      </c>
      <c r="AA85">
        <v>3.8899616600902576E-3</v>
      </c>
      <c r="AB85">
        <v>1.7326609077744859E-2</v>
      </c>
      <c r="AC85">
        <v>9.0973697556899769E-2</v>
      </c>
      <c r="AD85">
        <v>3.6655776399999999E-2</v>
      </c>
      <c r="AE85">
        <v>3.4864081999999998E-2</v>
      </c>
      <c r="AF85">
        <v>2.8062451232808927E-2</v>
      </c>
      <c r="AG85">
        <v>1.015480646934328E-2</v>
      </c>
      <c r="AH85">
        <v>4.6225923040999997E-2</v>
      </c>
      <c r="AI85">
        <v>5.9038246878999993E-2</v>
      </c>
    </row>
    <row r="86" spans="1:35" x14ac:dyDescent="0.2">
      <c r="A86">
        <v>737881</v>
      </c>
      <c r="B86" s="2">
        <f t="shared" si="9"/>
        <v>43921</v>
      </c>
      <c r="C86">
        <v>-0.20899658897100626</v>
      </c>
      <c r="D86">
        <v>8.2007612520993423E-2</v>
      </c>
      <c r="E86">
        <v>-8.756321294270715E-2</v>
      </c>
      <c r="F86">
        <v>1.0245635141689302E-2</v>
      </c>
      <c r="G86">
        <v>3.6262499999999997E-3</v>
      </c>
      <c r="I86">
        <v>-0.22980070892878973</v>
      </c>
      <c r="J86">
        <v>7.4884187579014258E-2</v>
      </c>
      <c r="K86">
        <v>-0.10114745155374232</v>
      </c>
      <c r="L86">
        <v>1.9516463899786627E-3</v>
      </c>
      <c r="M86">
        <v>3.6262499999999997E-3</v>
      </c>
      <c r="P86">
        <v>737881</v>
      </c>
      <c r="Q86" s="2">
        <v>43921</v>
      </c>
      <c r="R86" s="4">
        <v>1.4504999999999999E-2</v>
      </c>
      <c r="S86">
        <v>8.2007612520993423E-2</v>
      </c>
      <c r="T86">
        <v>1.6929282580141924E-2</v>
      </c>
      <c r="U86">
        <v>-3.2347164208969159E-2</v>
      </c>
      <c r="V86">
        <v>-0.12684386020280736</v>
      </c>
      <c r="W86">
        <v>-5.7243077841630075E-2</v>
      </c>
      <c r="X86">
        <v>-0.13381874951742201</v>
      </c>
      <c r="Y86">
        <v>2.8191808013161568E-2</v>
      </c>
      <c r="Z86">
        <v>4.6637414797030541E-3</v>
      </c>
      <c r="AA86">
        <v>-2.1186440677967155E-3</v>
      </c>
      <c r="AB86">
        <v>-0.13045384640554947</v>
      </c>
      <c r="AC86">
        <v>-0.20899658897100626</v>
      </c>
      <c r="AD86">
        <v>-0.10650365520000001</v>
      </c>
      <c r="AE86">
        <v>-2.98875101E-2</v>
      </c>
      <c r="AF86">
        <v>-8.0255358745497385E-2</v>
      </c>
      <c r="AG86">
        <v>8.3297387845541523E-3</v>
      </c>
      <c r="AH86">
        <v>-0.181786257767</v>
      </c>
      <c r="AI86">
        <v>-0.12266672735699999</v>
      </c>
    </row>
    <row r="87" spans="1:35" x14ac:dyDescent="0.2">
      <c r="A87">
        <v>737972</v>
      </c>
      <c r="B87" s="2">
        <f t="shared" si="9"/>
        <v>44012</v>
      </c>
      <c r="C87">
        <v>0.2202757064853913</v>
      </c>
      <c r="D87">
        <v>4.7501676988597197E-3</v>
      </c>
      <c r="E87">
        <v>9.9377835088475031E-2</v>
      </c>
      <c r="F87">
        <v>2.6744134983840356E-2</v>
      </c>
      <c r="G87">
        <v>7.5500000000000003E-4</v>
      </c>
      <c r="I87">
        <v>0.20234283652760782</v>
      </c>
      <c r="J87">
        <v>4.9799275688054614E-4</v>
      </c>
      <c r="K87">
        <v>8.8664846477439857E-2</v>
      </c>
      <c r="L87">
        <v>2.1321396232129718E-2</v>
      </c>
      <c r="M87">
        <v>7.5500000000000003E-4</v>
      </c>
      <c r="P87">
        <v>737972</v>
      </c>
      <c r="Q87" s="2">
        <v>44012</v>
      </c>
      <c r="R87" s="4">
        <v>3.0200000000000001E-3</v>
      </c>
      <c r="S87">
        <v>4.7501676988597197E-3</v>
      </c>
      <c r="T87">
        <v>4.2411442482885198E-2</v>
      </c>
      <c r="U87">
        <v>7.7976128424010138E-2</v>
      </c>
      <c r="V87">
        <v>0.10136250058931684</v>
      </c>
      <c r="W87">
        <v>9.5550981633945486E-2</v>
      </c>
      <c r="X87">
        <v>0.12262172970662766</v>
      </c>
      <c r="Y87">
        <v>6.6568690540376174E-3</v>
      </c>
      <c r="Z87">
        <v>3.8180519694555715E-2</v>
      </c>
      <c r="AA87">
        <v>3.5395016202927732E-2</v>
      </c>
      <c r="AB87">
        <v>9.7030202226219275E-2</v>
      </c>
      <c r="AC87">
        <v>0.2202757064853913</v>
      </c>
      <c r="AD87">
        <v>9.7566084299999994E-2</v>
      </c>
      <c r="AE87">
        <v>6.7381352000000002E-3</v>
      </c>
      <c r="AF87">
        <v>9.0078950924526557E-2</v>
      </c>
      <c r="AG87">
        <v>5.407518156536362E-3</v>
      </c>
      <c r="AH87">
        <v>0.19514359962599998</v>
      </c>
      <c r="AI87">
        <v>4.1180268468999998E-2</v>
      </c>
    </row>
    <row r="88" spans="1:35" x14ac:dyDescent="0.2">
      <c r="A88">
        <v>738064</v>
      </c>
      <c r="B88" s="2">
        <f t="shared" si="9"/>
        <v>44104</v>
      </c>
      <c r="C88">
        <v>9.207458730756013E-2</v>
      </c>
      <c r="D88">
        <v>1.7350463843495145E-3</v>
      </c>
      <c r="E88">
        <v>2.7205971966838383E-2</v>
      </c>
      <c r="F88">
        <v>9.3539601524497886E-3</v>
      </c>
      <c r="G88">
        <v>5.8470000000000006E-4</v>
      </c>
      <c r="I88">
        <v>7.431201734977666E-2</v>
      </c>
      <c r="J88">
        <v>-2.3468285576296586E-3</v>
      </c>
      <c r="K88">
        <v>1.6663283355803214E-2</v>
      </c>
      <c r="L88">
        <v>4.1015214007391479E-3</v>
      </c>
      <c r="M88">
        <v>5.8470000000000006E-4</v>
      </c>
      <c r="P88">
        <v>738064</v>
      </c>
      <c r="Q88" s="2">
        <v>44104</v>
      </c>
      <c r="R88" s="4">
        <v>2.3388000000000003E-3</v>
      </c>
      <c r="S88">
        <v>1.7350463843495145E-3</v>
      </c>
      <c r="T88">
        <v>3.0339514749654795E-2</v>
      </c>
      <c r="U88">
        <v>1.3416769241177962E-2</v>
      </c>
      <c r="V88">
        <v>4.5788564987229385E-2</v>
      </c>
      <c r="W88">
        <v>2.6465062504516412E-2</v>
      </c>
      <c r="X88">
        <v>2.3153491134429771E-2</v>
      </c>
      <c r="Y88">
        <v>1.1057407815340259E-3</v>
      </c>
      <c r="Z88">
        <v>1.8996719229548154E-2</v>
      </c>
      <c r="AA88">
        <v>7.9594204462671847E-3</v>
      </c>
      <c r="AB88">
        <v>4.1361520545266872E-2</v>
      </c>
      <c r="AC88">
        <v>9.207458730756013E-2</v>
      </c>
      <c r="AD88">
        <v>0.10872425870000001</v>
      </c>
      <c r="AE88">
        <v>2.71402133E-2</v>
      </c>
      <c r="AF88">
        <v>4.3105640116178678E-2</v>
      </c>
      <c r="AG88">
        <v>1.1768471869709907E-2</v>
      </c>
      <c r="AH88">
        <v>0.19500457554300002</v>
      </c>
      <c r="AI88">
        <v>9.6321498271000006E-2</v>
      </c>
    </row>
    <row r="89" spans="1:35" x14ac:dyDescent="0.2">
      <c r="A89">
        <v>738156</v>
      </c>
      <c r="B89" s="2">
        <f t="shared" si="9"/>
        <v>44196</v>
      </c>
      <c r="C89">
        <v>0.14681642750001411</v>
      </c>
      <c r="D89">
        <v>-8.2804744320492674E-3</v>
      </c>
      <c r="E89">
        <v>4.2667873539077722E-2</v>
      </c>
      <c r="F89">
        <v>6.1668562758945278E-3</v>
      </c>
      <c r="G89">
        <v>5.9595000000000004E-4</v>
      </c>
      <c r="I89">
        <v>0.12904260754223063</v>
      </c>
      <c r="J89">
        <v>-1.2373599374028439E-2</v>
      </c>
      <c r="K89">
        <v>3.2113934928042556E-2</v>
      </c>
      <c r="L89">
        <v>9.0316752418388799E-4</v>
      </c>
      <c r="M89">
        <v>5.9595000000000004E-4</v>
      </c>
      <c r="P89">
        <v>738156</v>
      </c>
      <c r="Q89" s="2">
        <v>44196</v>
      </c>
      <c r="R89" s="4">
        <v>2.3838000000000002E-3</v>
      </c>
      <c r="S89">
        <v>-8.2804744320492674E-3</v>
      </c>
      <c r="T89">
        <v>1.6208036548489346E-2</v>
      </c>
      <c r="U89">
        <v>1.775264672427157E-2</v>
      </c>
      <c r="V89">
        <v>6.4413578562462437E-2</v>
      </c>
      <c r="W89">
        <v>3.0534485489519536E-2</v>
      </c>
      <c r="X89">
        <v>5.7970783380057345E-2</v>
      </c>
      <c r="Y89">
        <v>2.4506525725378481E-3</v>
      </c>
      <c r="Z89">
        <v>1.2463000467362484E-2</v>
      </c>
      <c r="AA89">
        <v>3.5869157877832514E-3</v>
      </c>
      <c r="AB89">
        <v>3.8121119291137484E-2</v>
      </c>
      <c r="AC89">
        <v>0.14681642750001411</v>
      </c>
      <c r="AD89">
        <v>0.12637644710000001</v>
      </c>
      <c r="AE89">
        <v>3.5368235800000002E-2</v>
      </c>
      <c r="AF89">
        <v>9.0504020992700607E-2</v>
      </c>
      <c r="AG89">
        <v>4.8138262571715475E-2</v>
      </c>
      <c r="AH89">
        <v>8.0397039808000004E-2</v>
      </c>
      <c r="AI89">
        <v>2.2244042894000005E-2</v>
      </c>
    </row>
    <row r="90" spans="1:35" x14ac:dyDescent="0.2">
      <c r="A90">
        <v>738246</v>
      </c>
      <c r="B90" s="2">
        <f t="shared" si="9"/>
        <v>44286</v>
      </c>
      <c r="C90">
        <v>6.3469125158391204E-2</v>
      </c>
      <c r="D90">
        <v>-4.2529499101351842E-2</v>
      </c>
      <c r="E90">
        <v>-2.9514079322859987E-2</v>
      </c>
      <c r="F90">
        <v>-1.119262577319069E-2</v>
      </c>
      <c r="G90">
        <v>4.85625E-4</v>
      </c>
      <c r="I90">
        <v>4.5805630200607725E-2</v>
      </c>
      <c r="J90">
        <v>-4.6512299043331019E-2</v>
      </c>
      <c r="K90">
        <v>-3.9957692933895159E-2</v>
      </c>
      <c r="L90">
        <v>-1.6345989524901329E-2</v>
      </c>
      <c r="M90">
        <v>4.85625E-4</v>
      </c>
      <c r="P90">
        <v>738246</v>
      </c>
      <c r="Q90" s="2">
        <v>44286</v>
      </c>
      <c r="R90" s="4">
        <v>1.9425E-3</v>
      </c>
      <c r="S90">
        <v>-4.2529499101351842E-2</v>
      </c>
      <c r="T90">
        <v>-1.4722137223432963E-2</v>
      </c>
      <c r="U90">
        <v>-2.2412717714179187E-2</v>
      </c>
      <c r="V90">
        <v>8.5626754515273351E-3</v>
      </c>
      <c r="W90">
        <v>-5.8815492861534202E-2</v>
      </c>
      <c r="X90">
        <v>-4.5390782167253896E-2</v>
      </c>
      <c r="Y90">
        <v>-1.1000977003826184E-2</v>
      </c>
      <c r="Z90">
        <v>-2.1003231266348621E-2</v>
      </c>
      <c r="AA90">
        <v>-1.5736690493972638E-3</v>
      </c>
      <c r="AB90">
        <v>1.7813287303511283E-2</v>
      </c>
      <c r="AC90">
        <v>6.3469125158391204E-2</v>
      </c>
      <c r="AD90">
        <v>0.1063910686</v>
      </c>
      <c r="AE90">
        <v>3.5602053699999997E-2</v>
      </c>
      <c r="AF90">
        <v>5.5866716928604898E-2</v>
      </c>
      <c r="AG90">
        <v>3.7471548742026892E-2</v>
      </c>
      <c r="AH90">
        <v>7.936091275899998E-2</v>
      </c>
      <c r="AI90">
        <v>5.5293839310999987E-2</v>
      </c>
    </row>
    <row r="91" spans="1:35" x14ac:dyDescent="0.2">
      <c r="A91">
        <v>738337</v>
      </c>
      <c r="B91" s="2">
        <f t="shared" si="9"/>
        <v>44377</v>
      </c>
      <c r="C91">
        <v>8.2398119386988933E-2</v>
      </c>
      <c r="D91">
        <v>1.7469547652567696E-2</v>
      </c>
      <c r="E91">
        <v>2.9610135882334521E-2</v>
      </c>
      <c r="F91">
        <v>8.6438833058385765E-3</v>
      </c>
      <c r="G91">
        <v>3.6437499999999995E-4</v>
      </c>
      <c r="I91">
        <v>6.4855874429205457E-2</v>
      </c>
      <c r="J91">
        <v>1.3607997710588522E-2</v>
      </c>
      <c r="K91">
        <v>1.9287772271299353E-2</v>
      </c>
      <c r="L91">
        <v>3.6117695541279362E-3</v>
      </c>
      <c r="M91">
        <v>3.6437499999999995E-4</v>
      </c>
      <c r="P91">
        <v>738337</v>
      </c>
      <c r="Q91" s="2">
        <v>44377</v>
      </c>
      <c r="R91" s="4">
        <v>1.4574999999999998E-3</v>
      </c>
      <c r="S91">
        <v>1.7469547652567696E-2</v>
      </c>
      <c r="T91">
        <v>3.249150619940111E-2</v>
      </c>
      <c r="U91">
        <v>1.7735196116873242E-2</v>
      </c>
      <c r="V91">
        <v>2.7350948767809413E-2</v>
      </c>
      <c r="W91">
        <v>3.2769632747858823E-2</v>
      </c>
      <c r="X91">
        <v>4.0584765896796604E-2</v>
      </c>
      <c r="Y91">
        <v>3.3378737700566763E-3</v>
      </c>
      <c r="Z91">
        <v>1.9201047806155724E-2</v>
      </c>
      <c r="AA91">
        <v>3.3927283413033305E-3</v>
      </c>
      <c r="AB91">
        <v>1.4720736223859943E-2</v>
      </c>
      <c r="AC91">
        <v>8.2398119386988933E-2</v>
      </c>
      <c r="AD91">
        <v>0.1290074356</v>
      </c>
      <c r="AE91">
        <v>5.7589199000000001E-2</v>
      </c>
      <c r="AF91">
        <v>3.1316856324397957E-2</v>
      </c>
      <c r="AG91">
        <v>5.499641363858021E-2</v>
      </c>
      <c r="AH91">
        <v>0.159904202946</v>
      </c>
      <c r="AI91">
        <v>7.4657457191999996E-2</v>
      </c>
    </row>
    <row r="92" spans="1:35" x14ac:dyDescent="0.2">
      <c r="A92">
        <v>738429</v>
      </c>
      <c r="B92" s="2">
        <f t="shared" si="9"/>
        <v>44469</v>
      </c>
      <c r="C92">
        <v>-1.0171063961381677E-3</v>
      </c>
      <c r="D92">
        <v>8.6630089517747422E-4</v>
      </c>
      <c r="E92">
        <v>-8.5088397109786551E-4</v>
      </c>
      <c r="F92">
        <v>4.1000357789133801E-4</v>
      </c>
      <c r="G92">
        <v>3.2532500000000001E-4</v>
      </c>
      <c r="I92">
        <v>-1.8520301353921641E-2</v>
      </c>
      <c r="J92">
        <v>-2.9561990468016989E-3</v>
      </c>
      <c r="K92">
        <v>-1.1134197582133033E-2</v>
      </c>
      <c r="L92">
        <v>-4.5830601738193026E-3</v>
      </c>
      <c r="M92">
        <v>3.2532500000000001E-4</v>
      </c>
      <c r="P92">
        <v>738429</v>
      </c>
      <c r="Q92" s="2">
        <v>44469</v>
      </c>
      <c r="R92" s="4">
        <v>1.3013E-3</v>
      </c>
      <c r="S92">
        <v>8.6630089517747422E-4</v>
      </c>
      <c r="T92">
        <v>1.7517518215791394E-2</v>
      </c>
      <c r="U92">
        <v>7.2299355286353784E-4</v>
      </c>
      <c r="V92">
        <v>8.931995595858E-3</v>
      </c>
      <c r="W92">
        <v>-6.0613514178290417E-3</v>
      </c>
      <c r="X92">
        <v>-6.9971736152839581E-3</v>
      </c>
      <c r="Y92">
        <v>9.8024757757420033E-4</v>
      </c>
      <c r="Z92">
        <v>-2.8271820705239037E-4</v>
      </c>
      <c r="AA92">
        <v>5.3248136315220407E-4</v>
      </c>
      <c r="AB92">
        <v>1.1069328466884132E-2</v>
      </c>
      <c r="AC92">
        <v>-1.0171063961381677E-3</v>
      </c>
      <c r="AD92">
        <v>6.0108296700000001E-2</v>
      </c>
      <c r="AE92">
        <v>7.3678313499999995E-2</v>
      </c>
      <c r="AF92">
        <v>3.164016065250852E-3</v>
      </c>
      <c r="AG92">
        <v>6.0748804614590536E-3</v>
      </c>
      <c r="AH92">
        <v>2.3554820116000019E-2</v>
      </c>
      <c r="AI92">
        <v>8.7063605743999989E-2</v>
      </c>
    </row>
    <row r="93" spans="1:35" x14ac:dyDescent="0.2">
      <c r="A93">
        <v>738521</v>
      </c>
      <c r="B93" s="2">
        <f t="shared" si="9"/>
        <v>44561</v>
      </c>
      <c r="C93">
        <v>9.2775168128322871E-2</v>
      </c>
      <c r="D93">
        <v>1.7751811245751981E-3</v>
      </c>
      <c r="E93">
        <v>2.194745636676404E-3</v>
      </c>
      <c r="F93">
        <v>-5.3261961949370162E-3</v>
      </c>
      <c r="G93">
        <v>5.2282499999999998E-4</v>
      </c>
      <c r="I93">
        <v>7.5074473170539391E-2</v>
      </c>
      <c r="J93">
        <v>-2.2448188174039752E-3</v>
      </c>
      <c r="K93">
        <v>-8.2860679743587632E-3</v>
      </c>
      <c r="L93">
        <v>-1.0516759946647657E-2</v>
      </c>
      <c r="M93">
        <v>5.2282499999999998E-4</v>
      </c>
      <c r="P93">
        <v>738521</v>
      </c>
      <c r="Q93" s="2">
        <v>44561</v>
      </c>
      <c r="R93" s="4">
        <v>2.0912999999999999E-3</v>
      </c>
      <c r="S93">
        <v>1.7751811245751981E-3</v>
      </c>
      <c r="T93">
        <v>2.3620222666408175E-2</v>
      </c>
      <c r="U93">
        <v>-5.451668577844182E-3</v>
      </c>
      <c r="V93">
        <v>6.8910551161793787E-3</v>
      </c>
      <c r="W93">
        <v>1.1754723984939819E-2</v>
      </c>
      <c r="X93">
        <v>-4.4151279765693996E-3</v>
      </c>
      <c r="Y93">
        <v>-3.7264927636712075E-3</v>
      </c>
      <c r="Z93">
        <v>-6.5043576625447574E-3</v>
      </c>
      <c r="AA93">
        <v>-5.7477381585950837E-3</v>
      </c>
      <c r="AB93">
        <v>7.4658839187231596E-3</v>
      </c>
      <c r="AC93">
        <v>9.2775168128322871E-2</v>
      </c>
      <c r="AD93">
        <v>6.1189163400000003E-2</v>
      </c>
      <c r="AE93">
        <v>7.2656386099999998E-2</v>
      </c>
      <c r="AF93">
        <v>1.2471050091436897E-2</v>
      </c>
      <c r="AG93">
        <v>1.0258135591094454E-3</v>
      </c>
      <c r="AH93">
        <v>3.1650936536000013E-2</v>
      </c>
      <c r="AI93">
        <v>8.1896172154999974E-2</v>
      </c>
    </row>
    <row r="94" spans="1:35" x14ac:dyDescent="0.2">
      <c r="A94">
        <v>738611</v>
      </c>
      <c r="B94" s="2">
        <f t="shared" si="9"/>
        <v>44651</v>
      </c>
      <c r="C94">
        <v>-5.2784811031260093E-2</v>
      </c>
      <c r="D94">
        <v>-5.5753115062301073E-2</v>
      </c>
      <c r="E94">
        <v>-8.4181700763836589E-2</v>
      </c>
      <c r="F94">
        <v>-4.4704140762832169E-2</v>
      </c>
      <c r="G94">
        <v>2.4039249999999999E-3</v>
      </c>
      <c r="I94">
        <v>-7.236660598904357E-2</v>
      </c>
      <c r="J94">
        <v>-6.1654215004280248E-2</v>
      </c>
      <c r="K94">
        <v>-9.6543614374871758E-2</v>
      </c>
      <c r="L94">
        <v>-5.1775804514542813E-2</v>
      </c>
      <c r="M94">
        <v>2.4039249999999999E-3</v>
      </c>
      <c r="P94">
        <v>738611</v>
      </c>
      <c r="Q94" s="2">
        <v>44651</v>
      </c>
      <c r="R94" s="4">
        <v>9.6156999999999996E-3</v>
      </c>
      <c r="S94">
        <v>-5.5753115062301073E-2</v>
      </c>
      <c r="T94">
        <v>-3.0229415003127813E-2</v>
      </c>
      <c r="U94">
        <v>-5.3827749515758361E-2</v>
      </c>
      <c r="V94">
        <v>-4.8211697943178589E-2</v>
      </c>
      <c r="W94">
        <v>-0.13447360145357978</v>
      </c>
      <c r="X94">
        <v>-0.10021375414282963</v>
      </c>
      <c r="Y94">
        <v>-4.9730340988169641E-2</v>
      </c>
      <c r="Z94">
        <v>-5.5584308042645691E-2</v>
      </c>
      <c r="AA94">
        <v>-2.8797773257681181E-2</v>
      </c>
      <c r="AB94">
        <v>-1.040554479813216E-3</v>
      </c>
      <c r="AC94">
        <v>-5.2784811031260093E-2</v>
      </c>
      <c r="AD94">
        <v>9.1175376999999991E-3</v>
      </c>
      <c r="AE94">
        <v>4.4128539199999997E-2</v>
      </c>
      <c r="AF94">
        <v>-9.2252481983924328E-3</v>
      </c>
      <c r="AG94">
        <v>7.2098102213841525E-2</v>
      </c>
      <c r="AH94">
        <v>-4.3406892900000032E-3</v>
      </c>
      <c r="AI94">
        <v>-6.4806971359999965E-3</v>
      </c>
    </row>
    <row r="95" spans="1:35" x14ac:dyDescent="0.2">
      <c r="A95">
        <v>738702</v>
      </c>
      <c r="B95" s="2">
        <f t="shared" si="9"/>
        <v>44742</v>
      </c>
      <c r="C95">
        <v>-0.16701157506644948</v>
      </c>
      <c r="D95">
        <v>-3.7749357146790841E-2</v>
      </c>
      <c r="E95">
        <v>-8.6058512521416941E-2</v>
      </c>
      <c r="F95">
        <v>-2.5999872002877938E-2</v>
      </c>
      <c r="G95">
        <v>5.7128500000000002E-3</v>
      </c>
      <c r="I95">
        <v>-0.18990229502423295</v>
      </c>
      <c r="J95">
        <v>-4.6959382088770013E-2</v>
      </c>
      <c r="K95">
        <v>-0.10172935113245211</v>
      </c>
      <c r="L95">
        <v>-3.6380460754588582E-2</v>
      </c>
      <c r="M95">
        <v>5.7128500000000002E-3</v>
      </c>
      <c r="P95">
        <v>738702</v>
      </c>
      <c r="Q95" s="2">
        <v>44742</v>
      </c>
      <c r="R95" s="4">
        <v>2.2851400000000001E-2</v>
      </c>
      <c r="S95">
        <v>-3.7749357146790841E-2</v>
      </c>
      <c r="T95">
        <v>-6.0846715780145222E-2</v>
      </c>
      <c r="U95">
        <v>-4.1478557143900918E-2</v>
      </c>
      <c r="V95">
        <v>-9.8390439878195513E-2</v>
      </c>
      <c r="W95">
        <v>-9.0026442744393531E-2</v>
      </c>
      <c r="X95">
        <v>-0.1143386103191778</v>
      </c>
      <c r="Y95">
        <v>-4.0052909568576545E-2</v>
      </c>
      <c r="Z95">
        <v>-2.8797676457693933E-2</v>
      </c>
      <c r="AA95">
        <v>-9.1490299823633325E-3</v>
      </c>
      <c r="AB95">
        <v>-4.4545890963107904E-2</v>
      </c>
      <c r="AC95">
        <v>-0.16701157506644948</v>
      </c>
      <c r="AD95">
        <v>-4.0056045200000001E-2</v>
      </c>
      <c r="AE95">
        <v>1.0530880899999999E-2</v>
      </c>
      <c r="AF95">
        <v>-5.474984490390189E-2</v>
      </c>
      <c r="AG95">
        <v>7.9464987410670877E-3</v>
      </c>
      <c r="AH95">
        <v>-7.9469814016999998E-2</v>
      </c>
      <c r="AI95">
        <v>-4.8317003688000001E-2</v>
      </c>
    </row>
    <row r="96" spans="1:35" x14ac:dyDescent="0.2">
      <c r="A96">
        <v>738794</v>
      </c>
      <c r="B96" s="2">
        <f t="shared" si="9"/>
        <v>44834</v>
      </c>
      <c r="C96">
        <v>-4.4645349569702675E-2</v>
      </c>
      <c r="D96">
        <v>-4.3478643691722607E-2</v>
      </c>
      <c r="E96">
        <v>-3.4866650804146054E-2</v>
      </c>
      <c r="F96">
        <v>-3.5033659584978429E-2</v>
      </c>
      <c r="G96">
        <v>9.386775E-3</v>
      </c>
      <c r="I96">
        <v>-7.1209994527486151E-2</v>
      </c>
      <c r="J96">
        <v>-5.6362593633701781E-2</v>
      </c>
      <c r="K96">
        <v>-5.4211414415181222E-2</v>
      </c>
      <c r="L96">
        <v>-4.9088173336689071E-2</v>
      </c>
      <c r="M96">
        <v>9.386775E-3</v>
      </c>
      <c r="P96">
        <v>738794</v>
      </c>
      <c r="Q96" s="2">
        <v>44834</v>
      </c>
      <c r="R96" s="4">
        <v>3.75471E-2</v>
      </c>
      <c r="S96">
        <v>-4.3478643691722607E-2</v>
      </c>
      <c r="T96">
        <v>-5.1441675275380794E-2</v>
      </c>
      <c r="U96">
        <v>-3.3217079275348338E-2</v>
      </c>
      <c r="V96">
        <v>-6.3858772776295147E-3</v>
      </c>
      <c r="W96">
        <v>-5.4191344468844993E-2</v>
      </c>
      <c r="X96">
        <v>-4.5672302194761372E-2</v>
      </c>
      <c r="Y96">
        <v>-5.349607838462811E-2</v>
      </c>
      <c r="Z96">
        <v>-3.8171815488785343E-2</v>
      </c>
      <c r="AA96">
        <v>-1.343308488152184E-2</v>
      </c>
      <c r="AB96">
        <v>1.3057148725727163E-2</v>
      </c>
      <c r="AC96">
        <v>-4.4645349569702675E-2</v>
      </c>
      <c r="AD96">
        <v>7.292822E-4</v>
      </c>
      <c r="AE96">
        <v>-1.8896782E-3</v>
      </c>
      <c r="AF96">
        <v>5.1123179738841174E-3</v>
      </c>
      <c r="AG96">
        <v>-8.8201687222464586E-3</v>
      </c>
      <c r="AH96">
        <v>2.3897246450000003E-2</v>
      </c>
      <c r="AI96">
        <v>-1.4079708153999998E-2</v>
      </c>
    </row>
    <row r="97" spans="1:35" x14ac:dyDescent="0.2">
      <c r="A97">
        <v>738885</v>
      </c>
      <c r="B97" s="2">
        <f t="shared" si="9"/>
        <v>44925</v>
      </c>
      <c r="C97">
        <v>7.182013763428996E-2</v>
      </c>
      <c r="D97">
        <v>7.2214295576931153E-3</v>
      </c>
      <c r="E97">
        <v>5.1425178766275448E-2</v>
      </c>
      <c r="F97">
        <v>1.2991709156267905E-2</v>
      </c>
      <c r="G97">
        <v>1.1918224999999999E-2</v>
      </c>
      <c r="I97">
        <v>4.2724042676506493E-2</v>
      </c>
      <c r="J97">
        <v>-8.1939703842860562E-3</v>
      </c>
      <c r="K97">
        <v>2.9548965155240282E-2</v>
      </c>
      <c r="L97">
        <v>-3.594254595442734E-3</v>
      </c>
      <c r="M97">
        <v>1.1918224999999999E-2</v>
      </c>
      <c r="P97">
        <v>738885</v>
      </c>
      <c r="Q97" s="2">
        <v>44925</v>
      </c>
      <c r="R97" s="4">
        <v>4.7672899999999997E-2</v>
      </c>
      <c r="S97">
        <v>7.2214295576931153E-3</v>
      </c>
      <c r="T97">
        <v>2.0408264522267183E-2</v>
      </c>
      <c r="U97">
        <v>2.8741204681292265E-2</v>
      </c>
      <c r="V97">
        <v>4.1660715815933225E-2</v>
      </c>
      <c r="W97">
        <v>5.422393170411377E-2</v>
      </c>
      <c r="X97">
        <v>8.1074862863762531E-2</v>
      </c>
      <c r="Y97">
        <v>2.1408961539430171E-2</v>
      </c>
      <c r="Z97">
        <v>9.5036958817318329E-3</v>
      </c>
      <c r="AA97">
        <v>8.0624700476417122E-3</v>
      </c>
      <c r="AB97">
        <v>2.6233128604715716E-2</v>
      </c>
      <c r="AC97">
        <v>7.182013763428996E-2</v>
      </c>
      <c r="AD97">
        <v>7.292822E-4</v>
      </c>
      <c r="AE97">
        <v>-1.8896782E-3</v>
      </c>
      <c r="AF97">
        <v>1.7913089989012976E-2</v>
      </c>
      <c r="AG97">
        <v>-8.9076832571134065E-3</v>
      </c>
      <c r="AH97">
        <v>4.1329298432000006E-2</v>
      </c>
      <c r="AI97">
        <v>-4.9891037845E-2</v>
      </c>
    </row>
    <row r="98" spans="1:35" x14ac:dyDescent="0.2">
      <c r="A98">
        <v>738976</v>
      </c>
      <c r="B98" s="2">
        <f t="shared" si="9"/>
        <v>45016</v>
      </c>
      <c r="C98">
        <v>7.1802975472456732E-2</v>
      </c>
      <c r="D98">
        <v>3.004948843670463E-2</v>
      </c>
      <c r="E98">
        <v>2.7415488821463802E-2</v>
      </c>
      <c r="F98">
        <v>2.0304502407586893E-2</v>
      </c>
      <c r="G98">
        <v>1.2981774999999999E-2</v>
      </c>
      <c r="I98">
        <v>4.1643330514673255E-2</v>
      </c>
      <c r="J98">
        <v>1.3570538494725455E-2</v>
      </c>
      <c r="K98">
        <v>4.4757252104286344E-3</v>
      </c>
      <c r="L98">
        <v>2.654988655876254E-3</v>
      </c>
      <c r="M98">
        <v>1.2981774999999999E-2</v>
      </c>
      <c r="P98">
        <v>738976</v>
      </c>
      <c r="Q98" s="2">
        <v>45016</v>
      </c>
      <c r="R98" s="4">
        <v>5.1927099999999997E-2</v>
      </c>
      <c r="S98">
        <v>3.004948843670463E-2</v>
      </c>
      <c r="T98">
        <v>3.3385867067973418E-2</v>
      </c>
      <c r="U98">
        <v>2.6632180545487105E-2</v>
      </c>
      <c r="V98">
        <v>3.5661890724617784E-2</v>
      </c>
      <c r="W98">
        <v>2.8743047830923185E-2</v>
      </c>
      <c r="X98">
        <v>1.8624836184827132E-2</v>
      </c>
      <c r="Y98">
        <v>2.5260769856730647E-2</v>
      </c>
      <c r="Z98">
        <v>1.7056020455601839E-2</v>
      </c>
      <c r="AA98">
        <v>1.859671691042819E-2</v>
      </c>
      <c r="AB98">
        <v>3.22738505214335E-2</v>
      </c>
      <c r="AC98">
        <v>7.1802975472456732E-2</v>
      </c>
      <c r="AD98">
        <v>2.4786361400000002E-2</v>
      </c>
      <c r="AE98">
        <v>-1.06492723E-2</v>
      </c>
      <c r="AF98">
        <v>2.3270961460152284E-2</v>
      </c>
      <c r="AG98">
        <v>-1.7782077838228903E-2</v>
      </c>
      <c r="AH98">
        <v>1.9845761296999997E-2</v>
      </c>
      <c r="AI98">
        <v>1.8989504370000004E-2</v>
      </c>
    </row>
    <row r="99" spans="1:35" x14ac:dyDescent="0.2">
      <c r="A99">
        <v>739067</v>
      </c>
      <c r="B99" s="2">
        <f t="shared" si="9"/>
        <v>45107</v>
      </c>
      <c r="C99">
        <v>8.3867864857625429E-2</v>
      </c>
      <c r="D99">
        <v>-1.3774593527493773E-2</v>
      </c>
      <c r="E99">
        <v>1.0772597514332405E-2</v>
      </c>
      <c r="F99">
        <v>-4.6276521273178979E-3</v>
      </c>
      <c r="G99">
        <v>1.3863575E-2</v>
      </c>
      <c r="I99">
        <v>5.282641989984195E-2</v>
      </c>
      <c r="J99">
        <v>-3.1135343469472946E-2</v>
      </c>
      <c r="K99">
        <v>-1.3048966096702763E-2</v>
      </c>
      <c r="L99">
        <v>-2.3158965879028538E-2</v>
      </c>
      <c r="M99">
        <v>1.3863575E-2</v>
      </c>
      <c r="P99">
        <v>739067</v>
      </c>
      <c r="Q99" s="2">
        <v>45107</v>
      </c>
      <c r="R99" s="4">
        <v>5.5454299999999998E-2</v>
      </c>
      <c r="S99">
        <v>-1.3774593527493773E-2</v>
      </c>
      <c r="T99">
        <v>-1.4210795475766091E-2</v>
      </c>
      <c r="U99">
        <v>-2.0888998797576885E-3</v>
      </c>
      <c r="V99">
        <v>1.7528066087693306E-2</v>
      </c>
      <c r="W99">
        <v>5.7955970762511022E-3</v>
      </c>
      <c r="X99">
        <v>2.18556267731429E-2</v>
      </c>
      <c r="Y99">
        <v>-6.4458095022776885E-3</v>
      </c>
      <c r="Z99">
        <v>-6.2566065765791157E-3</v>
      </c>
      <c r="AA99">
        <v>-1.1805403030968886E-3</v>
      </c>
      <c r="AB99">
        <v>3.1497430914417812E-2</v>
      </c>
      <c r="AC99">
        <v>8.3867864857625429E-2</v>
      </c>
      <c r="AD99">
        <v>2.6883365900000001E-2</v>
      </c>
      <c r="AE99">
        <v>-1.54428199E-2</v>
      </c>
      <c r="AF99">
        <v>1.6958293142467662E-2</v>
      </c>
      <c r="AG99">
        <v>1.268387164124125E-2</v>
      </c>
      <c r="AH99">
        <v>2.1510573162000002E-2</v>
      </c>
      <c r="AI99">
        <v>-7.8261455609999961E-3</v>
      </c>
    </row>
    <row r="100" spans="1:35" x14ac:dyDescent="0.2">
      <c r="A100">
        <v>739158</v>
      </c>
      <c r="B100" s="2">
        <v>45198</v>
      </c>
      <c r="C100">
        <v>-3.2537822804788896E-2</v>
      </c>
      <c r="D100">
        <v>-3.0605910665287173E-2</v>
      </c>
      <c r="E100">
        <v>-1.9061138936461428E-2</v>
      </c>
      <c r="F100">
        <v>-1.6034120119959267E-2</v>
      </c>
      <c r="G100">
        <v>1.4562500000000001E-2</v>
      </c>
      <c r="I100">
        <v>-6.4278192762572364E-2</v>
      </c>
      <c r="J100">
        <v>-4.8665585607266346E-2</v>
      </c>
      <c r="K100">
        <v>-4.3581627547496594E-2</v>
      </c>
      <c r="L100">
        <v>-3.5264358871669912E-2</v>
      </c>
      <c r="M100">
        <v>1.4562500000000001E-2</v>
      </c>
      <c r="P100">
        <f>A100</f>
        <v>739158</v>
      </c>
      <c r="Q100" s="2">
        <v>45198</v>
      </c>
      <c r="R100" s="4">
        <v>5.8250000000000003E-2</v>
      </c>
      <c r="S100">
        <v>-3.0605910665287173E-2</v>
      </c>
      <c r="T100">
        <v>-2.6003245707194145E-2</v>
      </c>
      <c r="U100">
        <v>-1.2168866538931511E-2</v>
      </c>
      <c r="V100">
        <v>4.6317980744210452E-3</v>
      </c>
      <c r="W100">
        <v>-4.6377123199312087E-2</v>
      </c>
      <c r="X100">
        <v>-2.2330364082023157E-2</v>
      </c>
      <c r="Y100">
        <v>-4.0542830445370659E-2</v>
      </c>
      <c r="Z100">
        <v>-1.003334866605321E-2</v>
      </c>
      <c r="AA100">
        <v>2.4738187515460641E-3</v>
      </c>
      <c r="AB100">
        <v>3.4583457032588028E-2</v>
      </c>
      <c r="AC100">
        <v>-3.2537822804788896E-2</v>
      </c>
      <c r="AD100">
        <v>2.6883365900000001E-2</v>
      </c>
      <c r="AE100">
        <v>-1.54428199E-2</v>
      </c>
      <c r="AF100">
        <v>2.944766685279987E-4</v>
      </c>
      <c r="AG100">
        <v>3.375492594328431E-2</v>
      </c>
      <c r="AH100">
        <v>-2.9053841800000257E-4</v>
      </c>
      <c r="AI100">
        <v>-3.2340644769000004E-2</v>
      </c>
    </row>
    <row r="101" spans="1:35" x14ac:dyDescent="0.2">
      <c r="A101">
        <v>739249</v>
      </c>
      <c r="B101" s="2">
        <v>45289</v>
      </c>
      <c r="C101">
        <v>0.12071807905481102</v>
      </c>
      <c r="D101">
        <v>5.6624873553404731E-2</v>
      </c>
      <c r="E101">
        <v>7.7888942956274992E-2</v>
      </c>
      <c r="F101">
        <v>5.3984189562463536E-2</v>
      </c>
      <c r="G101">
        <v>1.359375E-2</v>
      </c>
      <c r="I101">
        <v>8.9946459097027545E-2</v>
      </c>
      <c r="J101">
        <v>3.9533948611425555E-2</v>
      </c>
      <c r="K101">
        <v>5.4337204345239823E-2</v>
      </c>
      <c r="L101">
        <v>3.5722700810752891E-2</v>
      </c>
      <c r="M101">
        <v>1.359375E-2</v>
      </c>
      <c r="P101">
        <f t="shared" ref="P101:P110" si="10">A101</f>
        <v>739249</v>
      </c>
      <c r="Q101" s="2">
        <v>45289</v>
      </c>
      <c r="R101" s="4">
        <v>5.4375E-2</v>
      </c>
      <c r="S101">
        <v>5.6624873553404731E-2</v>
      </c>
      <c r="T101">
        <v>4.7109698942159772E-2</v>
      </c>
      <c r="U101">
        <v>6.2758560171994326E-2</v>
      </c>
      <c r="V101">
        <v>7.1539577289680967E-2</v>
      </c>
      <c r="W101">
        <v>8.5608639776339812E-2</v>
      </c>
      <c r="X101">
        <v>9.1648994587084864E-2</v>
      </c>
      <c r="Y101">
        <v>7.4798282308891739E-2</v>
      </c>
      <c r="Z101">
        <v>5.2359517932336175E-2</v>
      </c>
      <c r="AA101">
        <v>3.4794768446162694E-2</v>
      </c>
      <c r="AB101">
        <v>2.8687156310098327E-2</v>
      </c>
      <c r="AC101">
        <v>0.12071807905481102</v>
      </c>
      <c r="AD101">
        <v>9.2280468000000004E-3</v>
      </c>
      <c r="AE101">
        <v>-1.5932159099999999E-2</v>
      </c>
      <c r="AF101">
        <v>4.7688427908658459E-2</v>
      </c>
      <c r="AG101">
        <v>-4.6709248080746947E-3</v>
      </c>
      <c r="AH101">
        <v>3.3704655010999993E-2</v>
      </c>
      <c r="AI101">
        <v>-4.8288552106999998E-2</v>
      </c>
    </row>
    <row r="102" spans="1:35" x14ac:dyDescent="0.2">
      <c r="A102">
        <v>739340</v>
      </c>
      <c r="B102" s="2">
        <v>45380</v>
      </c>
      <c r="C102">
        <v>0.1001938997863081</v>
      </c>
      <c r="D102">
        <v>-9.5648393344137661E-3</v>
      </c>
      <c r="E102">
        <v>6.8856795984879454E-3</v>
      </c>
      <c r="F102">
        <v>2.1088540165357106E-3</v>
      </c>
      <c r="G102">
        <v>1.3656250000000002E-2</v>
      </c>
      <c r="I102">
        <v>6.935977982852462E-2</v>
      </c>
      <c r="J102">
        <v>-2.6718264276392942E-2</v>
      </c>
      <c r="K102">
        <v>-1.6728559012547224E-2</v>
      </c>
      <c r="L102">
        <v>-1.621513473517493E-2</v>
      </c>
      <c r="M102">
        <v>1.3656250000000002E-2</v>
      </c>
      <c r="P102">
        <f t="shared" si="10"/>
        <v>739340</v>
      </c>
      <c r="Q102" s="2">
        <v>45380</v>
      </c>
      <c r="R102" s="4">
        <v>5.4625000000000007E-2</v>
      </c>
      <c r="S102">
        <v>-9.5648393344137661E-3</v>
      </c>
      <c r="T102">
        <v>-8.3363436796624057E-4</v>
      </c>
      <c r="U102">
        <v>1.8302195332668414E-3</v>
      </c>
      <c r="V102">
        <v>1.4744984288131535E-2</v>
      </c>
      <c r="W102">
        <v>-9.3873312564900502E-3</v>
      </c>
      <c r="X102">
        <v>2.0354845829043455E-2</v>
      </c>
      <c r="Y102">
        <v>-1.0446205562545829E-2</v>
      </c>
      <c r="Z102">
        <v>9.9895137700756198E-3</v>
      </c>
      <c r="AA102">
        <v>6.7832538420773414E-3</v>
      </c>
      <c r="AB102">
        <v>2.4558504817286497E-2</v>
      </c>
      <c r="AC102">
        <v>0.1001938997863081</v>
      </c>
      <c r="AD102">
        <v>2.6735931899999999E-2</v>
      </c>
      <c r="AE102">
        <v>-3.1933663500000001E-2</v>
      </c>
      <c r="AF102">
        <v>4.9567919569234231E-2</v>
      </c>
      <c r="AG102">
        <v>6.5252905588362164E-2</v>
      </c>
      <c r="AH102">
        <v>1.9851303075000003E-2</v>
      </c>
      <c r="AI102">
        <v>4.8472868600999995E-2</v>
      </c>
    </row>
    <row r="103" spans="1:35" x14ac:dyDescent="0.2">
      <c r="A103">
        <v>739431</v>
      </c>
      <c r="B103" s="2">
        <v>45471</v>
      </c>
      <c r="C103">
        <v>3.21598603531561E-2</v>
      </c>
      <c r="D103">
        <v>9.488717737251573E-4</v>
      </c>
      <c r="E103">
        <v>5.8311448724604198E-3</v>
      </c>
      <c r="F103">
        <v>5.9537507345975476E-3</v>
      </c>
      <c r="G103">
        <v>1.3656250000000002E-2</v>
      </c>
      <c r="I103">
        <v>1.3257403953726259E-3</v>
      </c>
      <c r="J103">
        <v>-1.6204553168254018E-2</v>
      </c>
      <c r="K103">
        <v>-1.778309373857475E-2</v>
      </c>
      <c r="L103">
        <v>-1.2370238017113094E-2</v>
      </c>
      <c r="M103">
        <v>1.3656250000000002E-2</v>
      </c>
      <c r="P103">
        <f t="shared" si="10"/>
        <v>739431</v>
      </c>
      <c r="Q103" s="2">
        <v>45471</v>
      </c>
      <c r="R103" s="4">
        <v>5.4625000000000007E-2</v>
      </c>
      <c r="S103">
        <v>9.488717737251573E-4</v>
      </c>
      <c r="T103">
        <v>7.8751959577449959E-3</v>
      </c>
      <c r="U103">
        <v>6.8735319136484785E-3</v>
      </c>
      <c r="V103">
        <v>1.0945688423058542E-2</v>
      </c>
      <c r="W103">
        <v>2.4738982766572271E-3</v>
      </c>
      <c r="X103">
        <v>3.031460876477432E-3</v>
      </c>
      <c r="Y103">
        <v>6.9269491533474614E-4</v>
      </c>
      <c r="Z103">
        <v>7.4043715846994207E-3</v>
      </c>
      <c r="AA103">
        <v>9.7641857037584767E-3</v>
      </c>
      <c r="AB103">
        <v>2.4558504817286497E-2</v>
      </c>
      <c r="AC103">
        <v>3.21598603531561E-2</v>
      </c>
      <c r="AD103">
        <v>1.9170684300000001E-2</v>
      </c>
      <c r="AE103">
        <v>3.3714461999999998E-3</v>
      </c>
      <c r="AF103">
        <v>3.4466133874844207E-3</v>
      </c>
      <c r="AG103">
        <v>1.6084009373152484E-2</v>
      </c>
      <c r="AH103">
        <v>9.0808095990000011E-3</v>
      </c>
      <c r="AI103">
        <v>-1.1728546343999995E-2</v>
      </c>
    </row>
    <row r="104" spans="1:35" x14ac:dyDescent="0.2">
      <c r="A104">
        <v>739525</v>
      </c>
      <c r="B104" s="2">
        <v>45565</v>
      </c>
      <c r="C104">
        <v>6.2290919599555128E-2</v>
      </c>
      <c r="D104">
        <v>4.7394183702850645E-2</v>
      </c>
      <c r="E104">
        <v>5.5150155557518621E-2</v>
      </c>
      <c r="F104">
        <v>4.508081187397487E-2</v>
      </c>
      <c r="G104">
        <v>1.201875E-2</v>
      </c>
      <c r="I104">
        <v>3.3094299641771657E-2</v>
      </c>
      <c r="J104">
        <v>3.187825876087147E-2</v>
      </c>
      <c r="K104">
        <v>3.3173416946483451E-2</v>
      </c>
      <c r="L104">
        <v>2.8394323122264229E-2</v>
      </c>
      <c r="M104">
        <v>1.201875E-2</v>
      </c>
      <c r="P104">
        <f t="shared" si="10"/>
        <v>739525</v>
      </c>
      <c r="Q104" s="2">
        <v>45565</v>
      </c>
      <c r="R104" s="4">
        <v>4.8075E-2</v>
      </c>
      <c r="S104">
        <v>4.7394183702850645E-2</v>
      </c>
      <c r="T104">
        <v>4.1219164776740813E-2</v>
      </c>
      <c r="U104">
        <v>4.817488598581221E-2</v>
      </c>
      <c r="V104">
        <v>5.282814359264365E-2</v>
      </c>
      <c r="W104">
        <v>5.8055880876693999E-2</v>
      </c>
      <c r="X104">
        <v>6.1541711774924623E-2</v>
      </c>
      <c r="Y104">
        <v>5.5291892071288595E-2</v>
      </c>
      <c r="Z104">
        <v>4.6432155352444937E-2</v>
      </c>
      <c r="AA104">
        <v>3.3518388198191085E-2</v>
      </c>
      <c r="AB104">
        <v>2.4558504817286497E-2</v>
      </c>
      <c r="AC104">
        <v>6.2290919599555128E-2</v>
      </c>
      <c r="AD104">
        <v>2.4006405799999998E-2</v>
      </c>
      <c r="AE104">
        <v>-4.8905012999999999E-3</v>
      </c>
      <c r="AF104">
        <v>2.7279484079379746E-2</v>
      </c>
      <c r="AG104">
        <v>4.2917984071877864E-3</v>
      </c>
      <c r="AH104">
        <v>2.8324212520999995E-2</v>
      </c>
      <c r="AI104">
        <v>-1.2126039279E-2</v>
      </c>
    </row>
    <row r="105" spans="1:35" x14ac:dyDescent="0.2">
      <c r="A105">
        <v>739617</v>
      </c>
      <c r="B105" s="2">
        <v>45657</v>
      </c>
      <c r="C105">
        <v>2.6333032358180963E-2</v>
      </c>
      <c r="D105">
        <v>-3.1381637935409823E-2</v>
      </c>
      <c r="E105">
        <v>-2.046191123440684E-2</v>
      </c>
      <c r="F105">
        <v>-1.5436248639167593E-2</v>
      </c>
      <c r="G105">
        <v>1.1225000000000001E-2</v>
      </c>
      <c r="I105">
        <v>-2.0698375996025097E-3</v>
      </c>
      <c r="J105">
        <v>-4.6103812877388996E-2</v>
      </c>
      <c r="K105">
        <v>-4.1644899845442007E-2</v>
      </c>
      <c r="L105">
        <v>-3.1328987390878235E-2</v>
      </c>
      <c r="M105">
        <v>1.1225000000000001E-2</v>
      </c>
      <c r="P105">
        <f t="shared" si="10"/>
        <v>739617</v>
      </c>
      <c r="Q105" s="2">
        <v>45657</v>
      </c>
      <c r="R105" s="4">
        <v>4.4900000000000002E-2</v>
      </c>
      <c r="S105">
        <v>-3.1381637935409823E-2</v>
      </c>
      <c r="T105">
        <v>-2.8785184697519339E-2</v>
      </c>
      <c r="U105">
        <v>-1.5534072962259005E-2</v>
      </c>
      <c r="V105">
        <v>1.745688931660716E-3</v>
      </c>
      <c r="W105">
        <v>-4.8663820366856458E-2</v>
      </c>
      <c r="X105">
        <v>-1.9395440540172615E-2</v>
      </c>
      <c r="Y105">
        <v>-3.1575305846463397E-2</v>
      </c>
      <c r="Z105">
        <v>-1.4229064613949127E-2</v>
      </c>
      <c r="AA105">
        <v>-5.0437545709025589E-4</v>
      </c>
      <c r="AB105">
        <v>2.4558504817286497E-2</v>
      </c>
      <c r="AC105">
        <v>2.6333032358180963E-2</v>
      </c>
      <c r="AD105">
        <v>2.0299999999999999E-2</v>
      </c>
      <c r="AE105">
        <v>-1.5E-3</v>
      </c>
      <c r="AF105">
        <v>1.1402549870243472E-2</v>
      </c>
      <c r="AG105">
        <v>1.6342605384031251E-2</v>
      </c>
      <c r="AH105">
        <v>2.1337410883999992E-2</v>
      </c>
      <c r="AI105">
        <v>1.2822125465E-2</v>
      </c>
    </row>
    <row r="106" spans="1:35" x14ac:dyDescent="0.2">
      <c r="A106">
        <v>739707</v>
      </c>
      <c r="B106" s="2">
        <v>45747</v>
      </c>
      <c r="C106">
        <v>-4.7219219789105371E-2</v>
      </c>
      <c r="D106">
        <v>2.9202179684225227E-2</v>
      </c>
      <c r="E106">
        <v>2.10718528895876E-2</v>
      </c>
      <c r="F106">
        <v>2.3854338880246722E-2</v>
      </c>
      <c r="G106">
        <v>1.1043750000000001E-2</v>
      </c>
      <c r="I106">
        <v>-7.5440839746888852E-2</v>
      </c>
      <c r="J106">
        <v>1.4661254742246051E-2</v>
      </c>
      <c r="K106">
        <v>7.0114278552430714E-5</v>
      </c>
      <c r="L106">
        <v>8.1428501285360812E-3</v>
      </c>
      <c r="M106">
        <v>1.1043750000000001E-2</v>
      </c>
      <c r="P106">
        <f t="shared" si="10"/>
        <v>739707</v>
      </c>
      <c r="Q106" s="2">
        <v>45747</v>
      </c>
      <c r="R106" s="4">
        <v>4.4175000000000006E-2</v>
      </c>
      <c r="S106">
        <v>2.9202179684225227E-2</v>
      </c>
      <c r="T106">
        <v>4.1653705444632427E-2</v>
      </c>
      <c r="U106">
        <v>2.3256568216495244E-2</v>
      </c>
      <c r="V106">
        <v>1.0042560797149047E-2</v>
      </c>
      <c r="W106">
        <v>2.8547683357573295E-2</v>
      </c>
      <c r="X106">
        <v>2.2440599187132815E-2</v>
      </c>
      <c r="Y106">
        <v>3.0558893254960529E-2</v>
      </c>
      <c r="Z106">
        <v>2.5713834989746109E-2</v>
      </c>
      <c r="AA106">
        <v>1.5290288396033525E-2</v>
      </c>
      <c r="AB106">
        <v>2.4558504817286497E-2</v>
      </c>
      <c r="AC106">
        <v>-4.7219219789105371E-2</v>
      </c>
      <c r="AD106">
        <v>1.1299999999999999E-2</v>
      </c>
      <c r="AE106">
        <v>2.8E-3</v>
      </c>
      <c r="AF106">
        <v>-2.7490083458514558E-4</v>
      </c>
      <c r="AG106">
        <v>4.9910358442327944E-3</v>
      </c>
      <c r="AH106">
        <v>1.7353326000000002E-3</v>
      </c>
      <c r="AI106">
        <v>-4.5343589249999964E-3</v>
      </c>
    </row>
    <row r="107" spans="1:35" x14ac:dyDescent="0.2">
      <c r="A107">
        <v>739707</v>
      </c>
      <c r="B107" s="2">
        <v>45838</v>
      </c>
      <c r="C107">
        <v>0.1099121997053476</v>
      </c>
      <c r="D107">
        <v>8.4806882975836384E-3</v>
      </c>
      <c r="E107">
        <v>2.801528989085722E-2</v>
      </c>
      <c r="F107">
        <v>1.4601230805568891E-2</v>
      </c>
      <c r="G107">
        <v>1.116875E-2</v>
      </c>
      <c r="I107">
        <v>8.1565579747564121E-2</v>
      </c>
      <c r="J107">
        <v>-6.1852366443955345E-3</v>
      </c>
      <c r="K107">
        <v>6.8885512798220541E-3</v>
      </c>
      <c r="L107">
        <v>-1.2352579461417492E-3</v>
      </c>
      <c r="M107">
        <v>1.116875E-2</v>
      </c>
      <c r="P107">
        <f t="shared" si="10"/>
        <v>739707</v>
      </c>
      <c r="Q107" s="2">
        <v>45838</v>
      </c>
      <c r="R107" s="4">
        <v>4.4674999999999999E-2</v>
      </c>
      <c r="S107">
        <v>8.4806882975836384E-3</v>
      </c>
      <c r="T107">
        <v>4.1653705444632427E-2</v>
      </c>
      <c r="U107">
        <v>2.1961505390905023E-2</v>
      </c>
      <c r="V107">
        <v>3.5280585724081659E-2</v>
      </c>
      <c r="W107">
        <v>2.1574014221072968E-2</v>
      </c>
      <c r="X107">
        <v>3.3245054227369231E-2</v>
      </c>
      <c r="Y107">
        <v>1.1375811432532856E-2</v>
      </c>
      <c r="Z107">
        <v>1.8635291705116241E-2</v>
      </c>
      <c r="AA107">
        <v>1.3792589279057577E-2</v>
      </c>
      <c r="AB107">
        <v>2.4558504817286497E-2</v>
      </c>
      <c r="AC107">
        <v>0.1099121997053476</v>
      </c>
      <c r="AD107">
        <v>2.8000000000000001E-2</v>
      </c>
      <c r="AE107">
        <v>3.2000000000000002E-3</v>
      </c>
      <c r="AF107">
        <v>3.9400004587691884E-2</v>
      </c>
      <c r="AG107">
        <v>3.673063895020744E-3</v>
      </c>
      <c r="AH107">
        <v>3.7596615176999998E-2</v>
      </c>
      <c r="AI107">
        <v>9.9354518849999983E-3</v>
      </c>
    </row>
    <row r="108" spans="1:35" x14ac:dyDescent="0.2">
      <c r="A108">
        <v>739707</v>
      </c>
      <c r="B108" s="2">
        <v>45930</v>
      </c>
      <c r="C108">
        <v>8.1761819029432248E-2</v>
      </c>
      <c r="D108">
        <v>1.5119199363933467E-2</v>
      </c>
      <c r="E108">
        <v>3.3863190222789802E-2</v>
      </c>
      <c r="F108">
        <v>1.941615847400217E-2</v>
      </c>
      <c r="G108">
        <v>1.0324999999999999E-2</v>
      </c>
      <c r="I108">
        <v>5.4258949071648771E-2</v>
      </c>
      <c r="J108">
        <v>1.2970244219542943E-3</v>
      </c>
      <c r="K108">
        <v>1.3580201611754633E-2</v>
      </c>
      <c r="L108">
        <v>4.4234197222915309E-3</v>
      </c>
      <c r="M108">
        <v>1.0324999999999999E-2</v>
      </c>
      <c r="P108">
        <f t="shared" si="10"/>
        <v>739707</v>
      </c>
      <c r="Q108" s="2">
        <v>45930</v>
      </c>
      <c r="R108" s="4">
        <v>4.1299999999999996E-2</v>
      </c>
      <c r="S108">
        <v>1.5119199363933467E-2</v>
      </c>
      <c r="T108">
        <v>4.1653705444632427E-2</v>
      </c>
      <c r="U108">
        <v>2.1278666023832771E-2</v>
      </c>
      <c r="V108">
        <v>2.5361080249551415E-2</v>
      </c>
      <c r="W108">
        <v>4.1307442853752985E-2</v>
      </c>
      <c r="X108">
        <v>4.7505571764022037E-2</v>
      </c>
      <c r="Y108">
        <v>2.4285046624974882E-2</v>
      </c>
      <c r="Z108">
        <v>1.7539444877827881E-2</v>
      </c>
      <c r="AA108">
        <v>1.6423983919203744E-2</v>
      </c>
      <c r="AB108">
        <v>2.4558504817286497E-2</v>
      </c>
      <c r="AC108">
        <v>8.1761819029432248E-2</v>
      </c>
      <c r="AD108">
        <v>2.1999999999999999E-2</v>
      </c>
      <c r="AE108">
        <v>-2.7000000000000001E-3</v>
      </c>
      <c r="AF108">
        <v>4.9082098776995542E-2</v>
      </c>
      <c r="AG108">
        <v>5.5152081578803691E-2</v>
      </c>
      <c r="AH108">
        <v>2.5110498451999995E-2</v>
      </c>
      <c r="AI108">
        <v>-8.5455944810000004E-3</v>
      </c>
    </row>
    <row r="109" spans="1:35" x14ac:dyDescent="0.2">
      <c r="A109">
        <v>739707</v>
      </c>
      <c r="B109" s="2">
        <v>46022</v>
      </c>
      <c r="C109">
        <v>2.402874578007097E-2</v>
      </c>
      <c r="D109">
        <v>9.0424980833383461E-3</v>
      </c>
      <c r="E109">
        <v>1.7581187403568316E-2</v>
      </c>
      <c r="F109">
        <v>1.4377236019251413E-2</v>
      </c>
      <c r="G109">
        <v>9.6249999999999999E-3</v>
      </c>
      <c r="I109">
        <v>-2.774124177712502E-3</v>
      </c>
      <c r="J109">
        <v>-4.0796768586408268E-3</v>
      </c>
      <c r="K109">
        <v>-2.001801207466852E-3</v>
      </c>
      <c r="L109">
        <v>8.449726754077274E-5</v>
      </c>
      <c r="M109">
        <v>9.6249999999999999E-3</v>
      </c>
      <c r="P109">
        <f t="shared" si="10"/>
        <v>739707</v>
      </c>
      <c r="Q109" s="2">
        <v>46022</v>
      </c>
      <c r="R109" s="4">
        <v>3.85E-2</v>
      </c>
      <c r="S109">
        <v>9.0424980833383461E-3</v>
      </c>
      <c r="T109">
        <v>4.1653705444632427E-2</v>
      </c>
      <c r="U109">
        <v>1.2989139620947499E-2</v>
      </c>
      <c r="V109">
        <v>1.3085786918380471E-2</v>
      </c>
      <c r="W109">
        <v>1.1374641575359501E-2</v>
      </c>
      <c r="X109">
        <v>3.2875181499585793E-2</v>
      </c>
      <c r="Y109">
        <v>1.7086663103323962E-2</v>
      </c>
      <c r="Z109">
        <v>1.3552280146404083E-2</v>
      </c>
      <c r="AA109">
        <v>1.2492764808026191E-2</v>
      </c>
      <c r="AB109">
        <v>2.4558504817286497E-2</v>
      </c>
      <c r="AC109">
        <v>2.402874578007097E-2</v>
      </c>
      <c r="AF109">
        <v>2.0805152262174609E-2</v>
      </c>
      <c r="AG109">
        <v>2.741329959445158E-2</v>
      </c>
    </row>
    <row r="110" spans="1:35" x14ac:dyDescent="0.2">
      <c r="A110">
        <v>739707</v>
      </c>
      <c r="B110" s="2">
        <v>46112</v>
      </c>
      <c r="C110">
        <v>-3.9573490071300732E-2</v>
      </c>
      <c r="D110">
        <v>-4.2712752631557382E-4</v>
      </c>
      <c r="E110">
        <v>-8.5277862585782793E-3</v>
      </c>
      <c r="F110">
        <v>3.498809117015981E-3</v>
      </c>
      <c r="G110">
        <v>9.6249999999999999E-3</v>
      </c>
      <c r="I110">
        <v>-6.6376360029084203E-2</v>
      </c>
      <c r="J110">
        <v>-1.3549302468294746E-2</v>
      </c>
      <c r="K110">
        <v>-2.8110774869613449E-2</v>
      </c>
      <c r="L110">
        <v>-1.0793929634694659E-2</v>
      </c>
      <c r="M110">
        <v>9.6249999999999999E-3</v>
      </c>
      <c r="P110">
        <f t="shared" si="10"/>
        <v>739707</v>
      </c>
      <c r="Q110" s="2">
        <v>46112</v>
      </c>
      <c r="R110" s="4">
        <v>3.85E-2</v>
      </c>
      <c r="S110">
        <v>-4.2712752631557382E-4</v>
      </c>
      <c r="T110">
        <v>4.1653705444632427E-2</v>
      </c>
      <c r="U110">
        <v>-2.7741141913946166E-3</v>
      </c>
      <c r="V110">
        <v>-4.9569098500586994E-3</v>
      </c>
      <c r="W110">
        <v>-1.3781449493053044E-2</v>
      </c>
      <c r="X110">
        <v>-1.2598671499806757E-2</v>
      </c>
      <c r="Y110">
        <v>4.0332745147464433E-3</v>
      </c>
      <c r="Z110">
        <v>3.3427679094280016E-3</v>
      </c>
      <c r="AA110">
        <v>3.1203849268734984E-3</v>
      </c>
      <c r="AB110">
        <v>2.4558504817286497E-2</v>
      </c>
      <c r="AC110">
        <v>-3.9573490071300732E-2</v>
      </c>
      <c r="AG110">
        <v>4.490805922825962E-2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Conklin</dc:creator>
  <cp:lastModifiedBy>Samyak Jain</cp:lastModifiedBy>
  <dcterms:created xsi:type="dcterms:W3CDTF">2023-12-07T00:28:14Z</dcterms:created>
  <dcterms:modified xsi:type="dcterms:W3CDTF">2026-04-24T03:53:29Z</dcterms:modified>
</cp:coreProperties>
</file>